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o\OneDrive\Documents\Desktop\"/>
    </mc:Choice>
  </mc:AlternateContent>
  <xr:revisionPtr revIDLastSave="0" documentId="13_ncr:1_{FB6A4E2D-EEFA-495D-9629-4B7931BD6920}" xr6:coauthVersionLast="47" xr6:coauthVersionMax="47" xr10:uidLastSave="{00000000-0000-0000-0000-000000000000}"/>
  <bookViews>
    <workbookView xWindow="5760" yWindow="4080" windowWidth="17280" windowHeight="8880" tabRatio="889" activeTab="8" xr2:uid="{04999B87-C392-4BAA-B913-4CBB3B80C4AE}"/>
  </bookViews>
  <sheets>
    <sheet name="BA" sheetId="1" r:id="rId1"/>
    <sheet name="GEN" sheetId="13" r:id="rId2"/>
    <sheet name="HC&amp;HM" sheetId="14" r:id="rId3"/>
    <sheet name="RAW DATA" sheetId="5" r:id="rId4"/>
    <sheet name="BACK END DATA" sheetId="15" r:id="rId5"/>
    <sheet name=" BACK END MODEL" sheetId="10" r:id="rId6"/>
    <sheet name="course" sheetId="19" r:id="rId7"/>
    <sheet name="sem" sheetId="20" r:id="rId8"/>
    <sheet name="FAC" sheetId="25" r:id="rId9"/>
    <sheet name="Day" sheetId="29" r:id="rId10"/>
    <sheet name="Time" sheetId="30" r:id="rId11"/>
    <sheet name="Instant" sheetId="16" r:id="rId12"/>
    <sheet name="@Day" sheetId="17" r:id="rId13"/>
    <sheet name="@Time" sheetId="18" r:id="rId14"/>
  </sheets>
  <definedNames>
    <definedName name="_xlnm._FilterDatabase" localSheetId="3" hidden="1">'RAW DATA'!$A$1:$P$325</definedName>
    <definedName name="AUTOMATION">'RAW DATA'!$G$2:$J$217</definedName>
    <definedName name="BA__2">'BACK END DATA'!$C$5:$H$13</definedName>
    <definedName name="BA__4">'BACK END DATA'!$L$5:$Q$13</definedName>
    <definedName name="BA_2">'RAW DATA'!$G$2:$J$109</definedName>
    <definedName name="BA_SEM2">'RAW DATA'!$G$2:$J$55</definedName>
    <definedName name="BA_SEM4">'RAW DATA'!$G$56:$J$109</definedName>
    <definedName name="DATA">#REF!</definedName>
    <definedName name="FACULTY">#REF!</definedName>
    <definedName name="GE__2">'BACK END DATA'!$C$18:$H$26</definedName>
    <definedName name="GE__4">'BACK END DATA'!$L$18:$Q$26</definedName>
    <definedName name="GE_SEM2">'RAW DATA'!$G$110:$J$163</definedName>
    <definedName name="GE_SEM4">'RAW DATA'!$G$164:$J$217</definedName>
    <definedName name="HC__2">'BACK END DATA'!$C$31:$H$39</definedName>
    <definedName name="HC__4">'BACK END DATA'!$L$31:$Q$39</definedName>
    <definedName name="HC_SEM2">'RAW DATA'!$G$218:$J$271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30" l="1" a="1"/>
  <c r="B42" i="30" s="1"/>
  <c r="B51" i="30" a="1"/>
  <c r="B51" i="30" s="1"/>
  <c r="B33" i="30" a="1"/>
  <c r="B33" i="30" s="1"/>
  <c r="B24" i="30" a="1"/>
  <c r="B24" i="30" s="1"/>
  <c r="B15" i="30" a="1"/>
  <c r="B15" i="30" s="1"/>
  <c r="B6" i="30" a="1"/>
  <c r="B6" i="30" s="1"/>
  <c r="B66" i="29" a="1"/>
  <c r="B66" i="29" s="1"/>
  <c r="B54" i="29" a="1"/>
  <c r="B54" i="29" s="1"/>
  <c r="B42" i="29" a="1"/>
  <c r="B42" i="29" s="1"/>
  <c r="B30" i="29" a="1"/>
  <c r="B30" i="29" s="1"/>
  <c r="B6" i="29" a="1"/>
  <c r="B6" i="29" s="1"/>
  <c r="B18" i="29" a="1"/>
  <c r="B18" i="29" s="1"/>
  <c r="C53" i="30"/>
  <c r="D56" i="30"/>
  <c r="D47" i="30"/>
  <c r="D38" i="30"/>
  <c r="Q32" i="15"/>
  <c r="Q33" i="15"/>
  <c r="Q34" i="15"/>
  <c r="Q35" i="15"/>
  <c r="Q36" i="15"/>
  <c r="Q37" i="15"/>
  <c r="Q38" i="15"/>
  <c r="Q39" i="15"/>
  <c r="P32" i="15"/>
  <c r="P33" i="15"/>
  <c r="P34" i="15"/>
  <c r="P35" i="15"/>
  <c r="P36" i="15"/>
  <c r="P37" i="15"/>
  <c r="P38" i="15"/>
  <c r="P39" i="15"/>
  <c r="O32" i="15"/>
  <c r="O33" i="15"/>
  <c r="O34" i="15"/>
  <c r="O35" i="15"/>
  <c r="O36" i="15"/>
  <c r="O37" i="15"/>
  <c r="O38" i="15"/>
  <c r="O39" i="15"/>
  <c r="N39" i="15"/>
  <c r="N32" i="15"/>
  <c r="N33" i="15"/>
  <c r="N34" i="15"/>
  <c r="N35" i="15"/>
  <c r="N36" i="15"/>
  <c r="N37" i="15"/>
  <c r="N38" i="15"/>
  <c r="Q31" i="15"/>
  <c r="P31" i="15"/>
  <c r="O31" i="15"/>
  <c r="N31" i="15"/>
  <c r="M32" i="15"/>
  <c r="M33" i="15"/>
  <c r="M34" i="15"/>
  <c r="M35" i="15"/>
  <c r="M36" i="15"/>
  <c r="M37" i="15"/>
  <c r="M38" i="15"/>
  <c r="M39" i="15"/>
  <c r="M31" i="15"/>
  <c r="L32" i="15"/>
  <c r="L33" i="15"/>
  <c r="L34" i="15"/>
  <c r="L35" i="15"/>
  <c r="L36" i="15"/>
  <c r="L37" i="15"/>
  <c r="L38" i="15"/>
  <c r="L39" i="15"/>
  <c r="L31" i="15"/>
  <c r="D59" i="29"/>
  <c r="C59" i="29"/>
  <c r="C56" i="29"/>
  <c r="D55" i="29"/>
  <c r="C55" i="29"/>
  <c r="D62" i="29"/>
  <c r="D48" i="29"/>
  <c r="C47" i="29"/>
  <c r="D44" i="29"/>
  <c r="C44" i="29"/>
  <c r="D43" i="29"/>
  <c r="C43" i="29"/>
  <c r="D50" i="29"/>
  <c r="C31" i="29"/>
  <c r="D38" i="29"/>
  <c r="C24" i="29"/>
  <c r="D23" i="29"/>
  <c r="C23" i="29"/>
  <c r="D7" i="29"/>
  <c r="D8" i="29"/>
  <c r="D9" i="29"/>
  <c r="D10" i="29"/>
  <c r="C7" i="29"/>
  <c r="C8" i="29"/>
  <c r="C9" i="29"/>
  <c r="C10" i="29"/>
  <c r="B23" i="19" a="1"/>
  <c r="B23" i="19" s="1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P2" i="5"/>
  <c r="O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N2" i="5"/>
  <c r="M2" i="5"/>
  <c r="B57" i="10"/>
  <c r="B58" i="10" s="1"/>
  <c r="J67" i="10" s="1"/>
  <c r="I15" i="25" s="1"/>
  <c r="L201" i="5"/>
  <c r="H19" i="15"/>
  <c r="B38" i="10"/>
  <c r="B47" i="10"/>
  <c r="B31" i="10"/>
  <c r="B30" i="10"/>
  <c r="B29" i="10"/>
  <c r="H32" i="15"/>
  <c r="H33" i="15"/>
  <c r="H34" i="15"/>
  <c r="H35" i="15"/>
  <c r="H36" i="15"/>
  <c r="H37" i="15"/>
  <c r="H38" i="15"/>
  <c r="H39" i="15"/>
  <c r="H31" i="15"/>
  <c r="G32" i="15"/>
  <c r="G33" i="15"/>
  <c r="G34" i="15"/>
  <c r="G35" i="15"/>
  <c r="G36" i="15"/>
  <c r="G37" i="15"/>
  <c r="G38" i="15"/>
  <c r="G39" i="15"/>
  <c r="G31" i="15"/>
  <c r="F32" i="15"/>
  <c r="F33" i="15"/>
  <c r="F34" i="15"/>
  <c r="F35" i="15"/>
  <c r="F36" i="15"/>
  <c r="F37" i="15"/>
  <c r="F38" i="15"/>
  <c r="F39" i="15"/>
  <c r="F31" i="15"/>
  <c r="E32" i="15"/>
  <c r="E33" i="15"/>
  <c r="E34" i="15"/>
  <c r="E35" i="15"/>
  <c r="E36" i="15"/>
  <c r="E37" i="15"/>
  <c r="E38" i="15"/>
  <c r="E39" i="15"/>
  <c r="E31" i="15"/>
  <c r="D32" i="15"/>
  <c r="D33" i="15"/>
  <c r="D34" i="15"/>
  <c r="D35" i="15"/>
  <c r="D36" i="15"/>
  <c r="D37" i="15"/>
  <c r="D38" i="15"/>
  <c r="D39" i="15"/>
  <c r="D31" i="15"/>
  <c r="C32" i="15"/>
  <c r="C33" i="15"/>
  <c r="C34" i="15"/>
  <c r="C35" i="15"/>
  <c r="C36" i="15"/>
  <c r="C37" i="15"/>
  <c r="C38" i="15"/>
  <c r="C39" i="15"/>
  <c r="C31" i="15"/>
  <c r="Q19" i="15"/>
  <c r="Q20" i="15"/>
  <c r="Q21" i="15"/>
  <c r="Q22" i="15"/>
  <c r="Q23" i="15"/>
  <c r="Q24" i="15"/>
  <c r="Q25" i="15"/>
  <c r="Q26" i="15"/>
  <c r="Q18" i="15"/>
  <c r="P19" i="15"/>
  <c r="P20" i="15"/>
  <c r="P21" i="15"/>
  <c r="P22" i="15"/>
  <c r="P23" i="15"/>
  <c r="P24" i="15"/>
  <c r="P25" i="15"/>
  <c r="P26" i="15"/>
  <c r="P18" i="15"/>
  <c r="O19" i="15"/>
  <c r="O20" i="15"/>
  <c r="O21" i="15"/>
  <c r="O22" i="15"/>
  <c r="O23" i="15"/>
  <c r="O24" i="15"/>
  <c r="O25" i="15"/>
  <c r="O26" i="15"/>
  <c r="O18" i="15"/>
  <c r="N19" i="15"/>
  <c r="N20" i="15"/>
  <c r="N21" i="15"/>
  <c r="N22" i="15"/>
  <c r="N23" i="15"/>
  <c r="N24" i="15"/>
  <c r="N25" i="15"/>
  <c r="N26" i="15"/>
  <c r="N18" i="15"/>
  <c r="M19" i="15"/>
  <c r="M20" i="15"/>
  <c r="M21" i="15"/>
  <c r="M22" i="15"/>
  <c r="M23" i="15"/>
  <c r="M24" i="15"/>
  <c r="M25" i="15"/>
  <c r="M26" i="15"/>
  <c r="M18" i="15"/>
  <c r="L19" i="15"/>
  <c r="L20" i="15"/>
  <c r="L21" i="15"/>
  <c r="L22" i="15"/>
  <c r="L23" i="15"/>
  <c r="L24" i="15"/>
  <c r="L25" i="15"/>
  <c r="L26" i="15"/>
  <c r="L18" i="15"/>
  <c r="G18" i="15"/>
  <c r="H20" i="15"/>
  <c r="H21" i="15"/>
  <c r="H22" i="15"/>
  <c r="H23" i="15"/>
  <c r="H24" i="15"/>
  <c r="H25" i="15"/>
  <c r="H26" i="15"/>
  <c r="H18" i="15"/>
  <c r="G19" i="15"/>
  <c r="G20" i="15"/>
  <c r="G21" i="15"/>
  <c r="G22" i="15"/>
  <c r="G23" i="15"/>
  <c r="G24" i="15"/>
  <c r="G25" i="15"/>
  <c r="G26" i="15"/>
  <c r="F19" i="15"/>
  <c r="F20" i="15"/>
  <c r="F21" i="15"/>
  <c r="F22" i="15"/>
  <c r="F23" i="15"/>
  <c r="F24" i="15"/>
  <c r="F25" i="15"/>
  <c r="F26" i="15"/>
  <c r="F18" i="15"/>
  <c r="E19" i="15"/>
  <c r="E20" i="15"/>
  <c r="E21" i="15"/>
  <c r="E22" i="15"/>
  <c r="E23" i="15"/>
  <c r="E24" i="15"/>
  <c r="E25" i="15"/>
  <c r="E26" i="15"/>
  <c r="E18" i="15"/>
  <c r="D19" i="15"/>
  <c r="D20" i="15"/>
  <c r="D21" i="15"/>
  <c r="D22" i="15"/>
  <c r="D23" i="15"/>
  <c r="D24" i="15"/>
  <c r="D25" i="15"/>
  <c r="D26" i="15"/>
  <c r="D18" i="15"/>
  <c r="C19" i="15"/>
  <c r="C20" i="15"/>
  <c r="C21" i="15"/>
  <c r="C22" i="15"/>
  <c r="C23" i="15"/>
  <c r="C24" i="15"/>
  <c r="C25" i="15"/>
  <c r="C26" i="15"/>
  <c r="C18" i="15"/>
  <c r="Q6" i="15"/>
  <c r="Q7" i="15"/>
  <c r="Q8" i="15"/>
  <c r="Q9" i="15"/>
  <c r="Q10" i="15"/>
  <c r="Q11" i="15"/>
  <c r="Q12" i="15"/>
  <c r="Q13" i="15"/>
  <c r="Q5" i="15"/>
  <c r="P6" i="15"/>
  <c r="P7" i="15"/>
  <c r="P8" i="15"/>
  <c r="P9" i="15"/>
  <c r="P10" i="15"/>
  <c r="P11" i="15"/>
  <c r="P12" i="15"/>
  <c r="P13" i="15"/>
  <c r="P5" i="15"/>
  <c r="O6" i="15"/>
  <c r="O7" i="15"/>
  <c r="O8" i="15"/>
  <c r="O9" i="15"/>
  <c r="O10" i="15"/>
  <c r="O11" i="15"/>
  <c r="O12" i="15"/>
  <c r="O13" i="15"/>
  <c r="O5" i="15"/>
  <c r="N6" i="15"/>
  <c r="N7" i="15"/>
  <c r="N8" i="15"/>
  <c r="N9" i="15"/>
  <c r="N10" i="15"/>
  <c r="N11" i="15"/>
  <c r="N12" i="15"/>
  <c r="N13" i="15"/>
  <c r="N5" i="15"/>
  <c r="M6" i="15"/>
  <c r="M7" i="15"/>
  <c r="M8" i="15"/>
  <c r="M9" i="15"/>
  <c r="M10" i="15"/>
  <c r="M11" i="15"/>
  <c r="M12" i="15"/>
  <c r="M13" i="15"/>
  <c r="M5" i="15"/>
  <c r="L6" i="15"/>
  <c r="L7" i="15"/>
  <c r="L8" i="15"/>
  <c r="L9" i="15"/>
  <c r="L10" i="15"/>
  <c r="L11" i="15"/>
  <c r="L12" i="15"/>
  <c r="L13" i="15"/>
  <c r="L5" i="15"/>
  <c r="H6" i="15"/>
  <c r="H7" i="15"/>
  <c r="H8" i="15"/>
  <c r="H9" i="15"/>
  <c r="H10" i="15"/>
  <c r="H11" i="15"/>
  <c r="H12" i="15"/>
  <c r="H13" i="15"/>
  <c r="H5" i="15"/>
  <c r="G6" i="15"/>
  <c r="G7" i="15"/>
  <c r="G8" i="15"/>
  <c r="G9" i="15"/>
  <c r="G10" i="15"/>
  <c r="G11" i="15"/>
  <c r="G12" i="15"/>
  <c r="G13" i="15"/>
  <c r="G5" i="15"/>
  <c r="F6" i="15"/>
  <c r="F7" i="15"/>
  <c r="F8" i="15"/>
  <c r="F9" i="15"/>
  <c r="F10" i="15"/>
  <c r="F11" i="15"/>
  <c r="F12" i="15"/>
  <c r="F13" i="15"/>
  <c r="F5" i="15"/>
  <c r="E6" i="15"/>
  <c r="E7" i="15"/>
  <c r="E8" i="15"/>
  <c r="E9" i="15"/>
  <c r="E10" i="15"/>
  <c r="E11" i="15"/>
  <c r="E12" i="15"/>
  <c r="E13" i="15"/>
  <c r="E5" i="15"/>
  <c r="D6" i="15"/>
  <c r="D7" i="15"/>
  <c r="D8" i="15"/>
  <c r="D9" i="15"/>
  <c r="D10" i="15"/>
  <c r="D11" i="15"/>
  <c r="D12" i="15"/>
  <c r="D13" i="15"/>
  <c r="D5" i="15"/>
  <c r="C6" i="15"/>
  <c r="C7" i="15"/>
  <c r="C8" i="15"/>
  <c r="C9" i="15"/>
  <c r="C10" i="15"/>
  <c r="C11" i="15"/>
  <c r="C12" i="15"/>
  <c r="C13" i="15"/>
  <c r="C5" i="15"/>
  <c r="E135" i="5"/>
  <c r="G135" i="5" s="1"/>
  <c r="L135" i="5" s="1"/>
  <c r="E218" i="5"/>
  <c r="G218" i="5" s="1"/>
  <c r="L218" i="5" s="1"/>
  <c r="E219" i="5"/>
  <c r="G219" i="5" s="1"/>
  <c r="L219" i="5" s="1"/>
  <c r="E220" i="5"/>
  <c r="G220" i="5" s="1"/>
  <c r="L220" i="5" s="1"/>
  <c r="E221" i="5"/>
  <c r="G221" i="5" s="1"/>
  <c r="L221" i="5" s="1"/>
  <c r="E222" i="5"/>
  <c r="G222" i="5" s="1"/>
  <c r="L222" i="5" s="1"/>
  <c r="E223" i="5"/>
  <c r="G223" i="5" s="1"/>
  <c r="L223" i="5" s="1"/>
  <c r="E224" i="5"/>
  <c r="G224" i="5" s="1"/>
  <c r="L224" i="5" s="1"/>
  <c r="E225" i="5"/>
  <c r="G225" i="5" s="1"/>
  <c r="L225" i="5" s="1"/>
  <c r="E226" i="5"/>
  <c r="G226" i="5" s="1"/>
  <c r="L226" i="5" s="1"/>
  <c r="E227" i="5"/>
  <c r="G227" i="5" s="1"/>
  <c r="L227" i="5" s="1"/>
  <c r="E228" i="5"/>
  <c r="G228" i="5" s="1"/>
  <c r="L228" i="5" s="1"/>
  <c r="E229" i="5"/>
  <c r="G229" i="5" s="1"/>
  <c r="L229" i="5" s="1"/>
  <c r="E230" i="5"/>
  <c r="G230" i="5" s="1"/>
  <c r="L230" i="5" s="1"/>
  <c r="E231" i="5"/>
  <c r="G231" i="5" s="1"/>
  <c r="L231" i="5" s="1"/>
  <c r="E232" i="5"/>
  <c r="G232" i="5" s="1"/>
  <c r="L232" i="5" s="1"/>
  <c r="E233" i="5"/>
  <c r="G233" i="5" s="1"/>
  <c r="L233" i="5" s="1"/>
  <c r="E234" i="5"/>
  <c r="G234" i="5" s="1"/>
  <c r="L234" i="5" s="1"/>
  <c r="E235" i="5"/>
  <c r="G235" i="5" s="1"/>
  <c r="L235" i="5" s="1"/>
  <c r="E236" i="5"/>
  <c r="G236" i="5" s="1"/>
  <c r="L236" i="5" s="1"/>
  <c r="E237" i="5"/>
  <c r="G237" i="5" s="1"/>
  <c r="L237" i="5" s="1"/>
  <c r="E238" i="5"/>
  <c r="G238" i="5" s="1"/>
  <c r="L238" i="5" s="1"/>
  <c r="E239" i="5"/>
  <c r="G239" i="5" s="1"/>
  <c r="L239" i="5" s="1"/>
  <c r="E240" i="5"/>
  <c r="G240" i="5" s="1"/>
  <c r="L240" i="5" s="1"/>
  <c r="E241" i="5"/>
  <c r="G241" i="5" s="1"/>
  <c r="L241" i="5" s="1"/>
  <c r="E242" i="5"/>
  <c r="G242" i="5" s="1"/>
  <c r="L242" i="5" s="1"/>
  <c r="E243" i="5"/>
  <c r="G243" i="5" s="1"/>
  <c r="L243" i="5" s="1"/>
  <c r="E244" i="5"/>
  <c r="G244" i="5" s="1"/>
  <c r="L244" i="5" s="1"/>
  <c r="E245" i="5"/>
  <c r="G245" i="5" s="1"/>
  <c r="L245" i="5" s="1"/>
  <c r="E246" i="5"/>
  <c r="G246" i="5" s="1"/>
  <c r="L246" i="5" s="1"/>
  <c r="E247" i="5"/>
  <c r="G247" i="5" s="1"/>
  <c r="L247" i="5" s="1"/>
  <c r="E248" i="5"/>
  <c r="G248" i="5" s="1"/>
  <c r="L248" i="5" s="1"/>
  <c r="E249" i="5"/>
  <c r="G249" i="5" s="1"/>
  <c r="L249" i="5" s="1"/>
  <c r="E250" i="5"/>
  <c r="G250" i="5" s="1"/>
  <c r="L250" i="5" s="1"/>
  <c r="E251" i="5"/>
  <c r="G251" i="5" s="1"/>
  <c r="L251" i="5" s="1"/>
  <c r="E252" i="5"/>
  <c r="G252" i="5" s="1"/>
  <c r="L252" i="5" s="1"/>
  <c r="E253" i="5"/>
  <c r="G253" i="5" s="1"/>
  <c r="L253" i="5" s="1"/>
  <c r="E254" i="5"/>
  <c r="G254" i="5" s="1"/>
  <c r="L254" i="5" s="1"/>
  <c r="E255" i="5"/>
  <c r="G255" i="5" s="1"/>
  <c r="L255" i="5" s="1"/>
  <c r="E256" i="5"/>
  <c r="G256" i="5" s="1"/>
  <c r="L256" i="5" s="1"/>
  <c r="E257" i="5"/>
  <c r="G257" i="5" s="1"/>
  <c r="L257" i="5" s="1"/>
  <c r="E258" i="5"/>
  <c r="G258" i="5" s="1"/>
  <c r="L258" i="5" s="1"/>
  <c r="E259" i="5"/>
  <c r="G259" i="5" s="1"/>
  <c r="L259" i="5" s="1"/>
  <c r="E260" i="5"/>
  <c r="G260" i="5" s="1"/>
  <c r="L260" i="5" s="1"/>
  <c r="E261" i="5"/>
  <c r="G261" i="5" s="1"/>
  <c r="L261" i="5" s="1"/>
  <c r="E262" i="5"/>
  <c r="G262" i="5" s="1"/>
  <c r="L262" i="5" s="1"/>
  <c r="E263" i="5"/>
  <c r="G263" i="5" s="1"/>
  <c r="L263" i="5" s="1"/>
  <c r="E264" i="5"/>
  <c r="G264" i="5" s="1"/>
  <c r="L264" i="5" s="1"/>
  <c r="E265" i="5"/>
  <c r="G265" i="5" s="1"/>
  <c r="L265" i="5" s="1"/>
  <c r="E266" i="5"/>
  <c r="G266" i="5" s="1"/>
  <c r="L266" i="5" s="1"/>
  <c r="E267" i="5"/>
  <c r="G267" i="5" s="1"/>
  <c r="L267" i="5" s="1"/>
  <c r="E268" i="5"/>
  <c r="G268" i="5" s="1"/>
  <c r="L268" i="5" s="1"/>
  <c r="E269" i="5"/>
  <c r="G269" i="5" s="1"/>
  <c r="L269" i="5" s="1"/>
  <c r="E270" i="5"/>
  <c r="G270" i="5" s="1"/>
  <c r="L270" i="5" s="1"/>
  <c r="E271" i="5"/>
  <c r="G271" i="5" s="1"/>
  <c r="L271" i="5" s="1"/>
  <c r="E272" i="5"/>
  <c r="G272" i="5" s="1"/>
  <c r="L272" i="5" s="1"/>
  <c r="E273" i="5"/>
  <c r="G273" i="5" s="1"/>
  <c r="L273" i="5" s="1"/>
  <c r="E274" i="5"/>
  <c r="G274" i="5" s="1"/>
  <c r="L274" i="5" s="1"/>
  <c r="E275" i="5"/>
  <c r="G275" i="5" s="1"/>
  <c r="L275" i="5" s="1"/>
  <c r="E276" i="5"/>
  <c r="G276" i="5" s="1"/>
  <c r="L276" i="5" s="1"/>
  <c r="E277" i="5"/>
  <c r="G277" i="5" s="1"/>
  <c r="L277" i="5" s="1"/>
  <c r="E278" i="5"/>
  <c r="G278" i="5" s="1"/>
  <c r="L278" i="5" s="1"/>
  <c r="E279" i="5"/>
  <c r="G279" i="5" s="1"/>
  <c r="L279" i="5" s="1"/>
  <c r="E280" i="5"/>
  <c r="G280" i="5" s="1"/>
  <c r="L280" i="5" s="1"/>
  <c r="E281" i="5"/>
  <c r="G281" i="5" s="1"/>
  <c r="L281" i="5" s="1"/>
  <c r="E282" i="5"/>
  <c r="G282" i="5" s="1"/>
  <c r="L282" i="5" s="1"/>
  <c r="E283" i="5"/>
  <c r="G283" i="5" s="1"/>
  <c r="L283" i="5" s="1"/>
  <c r="E284" i="5"/>
  <c r="G284" i="5" s="1"/>
  <c r="L284" i="5" s="1"/>
  <c r="E285" i="5"/>
  <c r="G285" i="5" s="1"/>
  <c r="L285" i="5" s="1"/>
  <c r="E286" i="5"/>
  <c r="G286" i="5" s="1"/>
  <c r="L286" i="5" s="1"/>
  <c r="E287" i="5"/>
  <c r="G287" i="5" s="1"/>
  <c r="L287" i="5" s="1"/>
  <c r="E288" i="5"/>
  <c r="G288" i="5" s="1"/>
  <c r="L288" i="5" s="1"/>
  <c r="E289" i="5"/>
  <c r="G289" i="5" s="1"/>
  <c r="L289" i="5" s="1"/>
  <c r="E290" i="5"/>
  <c r="G290" i="5" s="1"/>
  <c r="L290" i="5" s="1"/>
  <c r="E291" i="5"/>
  <c r="G291" i="5" s="1"/>
  <c r="L291" i="5" s="1"/>
  <c r="E292" i="5"/>
  <c r="G292" i="5" s="1"/>
  <c r="L292" i="5" s="1"/>
  <c r="E293" i="5"/>
  <c r="G293" i="5" s="1"/>
  <c r="L293" i="5" s="1"/>
  <c r="E294" i="5"/>
  <c r="G294" i="5" s="1"/>
  <c r="L294" i="5" s="1"/>
  <c r="E295" i="5"/>
  <c r="G295" i="5" s="1"/>
  <c r="L295" i="5" s="1"/>
  <c r="E296" i="5"/>
  <c r="G296" i="5" s="1"/>
  <c r="L296" i="5" s="1"/>
  <c r="E297" i="5"/>
  <c r="G297" i="5" s="1"/>
  <c r="L297" i="5" s="1"/>
  <c r="E298" i="5"/>
  <c r="G298" i="5" s="1"/>
  <c r="L298" i="5" s="1"/>
  <c r="E299" i="5"/>
  <c r="G299" i="5" s="1"/>
  <c r="L299" i="5" s="1"/>
  <c r="E300" i="5"/>
  <c r="G300" i="5" s="1"/>
  <c r="L300" i="5" s="1"/>
  <c r="E301" i="5"/>
  <c r="G301" i="5" s="1"/>
  <c r="L301" i="5" s="1"/>
  <c r="E302" i="5"/>
  <c r="G302" i="5" s="1"/>
  <c r="L302" i="5" s="1"/>
  <c r="E303" i="5"/>
  <c r="G303" i="5" s="1"/>
  <c r="L303" i="5" s="1"/>
  <c r="E304" i="5"/>
  <c r="G304" i="5" s="1"/>
  <c r="L304" i="5" s="1"/>
  <c r="E305" i="5"/>
  <c r="G305" i="5" s="1"/>
  <c r="L305" i="5" s="1"/>
  <c r="E306" i="5"/>
  <c r="G306" i="5" s="1"/>
  <c r="L306" i="5" s="1"/>
  <c r="E307" i="5"/>
  <c r="G307" i="5" s="1"/>
  <c r="L307" i="5" s="1"/>
  <c r="E308" i="5"/>
  <c r="G308" i="5" s="1"/>
  <c r="L308" i="5" s="1"/>
  <c r="E309" i="5"/>
  <c r="G309" i="5" s="1"/>
  <c r="L309" i="5" s="1"/>
  <c r="E310" i="5"/>
  <c r="G310" i="5" s="1"/>
  <c r="L310" i="5" s="1"/>
  <c r="E311" i="5"/>
  <c r="G311" i="5" s="1"/>
  <c r="L311" i="5" s="1"/>
  <c r="E312" i="5"/>
  <c r="G312" i="5" s="1"/>
  <c r="L312" i="5" s="1"/>
  <c r="E313" i="5"/>
  <c r="G313" i="5" s="1"/>
  <c r="L313" i="5" s="1"/>
  <c r="E314" i="5"/>
  <c r="G314" i="5" s="1"/>
  <c r="L314" i="5" s="1"/>
  <c r="E315" i="5"/>
  <c r="G315" i="5" s="1"/>
  <c r="L315" i="5" s="1"/>
  <c r="E316" i="5"/>
  <c r="G316" i="5" s="1"/>
  <c r="L316" i="5" s="1"/>
  <c r="E317" i="5"/>
  <c r="G317" i="5" s="1"/>
  <c r="L317" i="5" s="1"/>
  <c r="E318" i="5"/>
  <c r="G318" i="5" s="1"/>
  <c r="L318" i="5" s="1"/>
  <c r="E319" i="5"/>
  <c r="G319" i="5" s="1"/>
  <c r="L319" i="5" s="1"/>
  <c r="E320" i="5"/>
  <c r="G320" i="5" s="1"/>
  <c r="L320" i="5" s="1"/>
  <c r="E321" i="5"/>
  <c r="G321" i="5" s="1"/>
  <c r="L321" i="5" s="1"/>
  <c r="E322" i="5"/>
  <c r="G322" i="5" s="1"/>
  <c r="L322" i="5" s="1"/>
  <c r="E323" i="5"/>
  <c r="G323" i="5" s="1"/>
  <c r="L323" i="5" s="1"/>
  <c r="E324" i="5"/>
  <c r="G324" i="5" s="1"/>
  <c r="L324" i="5" s="1"/>
  <c r="E325" i="5"/>
  <c r="G325" i="5" s="1"/>
  <c r="L325" i="5" s="1"/>
  <c r="E164" i="5"/>
  <c r="G164" i="5" s="1"/>
  <c r="L164" i="5" s="1"/>
  <c r="E165" i="5"/>
  <c r="G165" i="5" s="1"/>
  <c r="L165" i="5" s="1"/>
  <c r="E166" i="5"/>
  <c r="G166" i="5" s="1"/>
  <c r="L166" i="5" s="1"/>
  <c r="E167" i="5"/>
  <c r="G167" i="5" s="1"/>
  <c r="L167" i="5" s="1"/>
  <c r="E168" i="5"/>
  <c r="G168" i="5" s="1"/>
  <c r="L168" i="5" s="1"/>
  <c r="E169" i="5"/>
  <c r="G169" i="5" s="1"/>
  <c r="L169" i="5" s="1"/>
  <c r="E170" i="5"/>
  <c r="G170" i="5" s="1"/>
  <c r="L170" i="5" s="1"/>
  <c r="E171" i="5"/>
  <c r="G171" i="5" s="1"/>
  <c r="L171" i="5" s="1"/>
  <c r="E172" i="5"/>
  <c r="G172" i="5" s="1"/>
  <c r="L172" i="5" s="1"/>
  <c r="E173" i="5"/>
  <c r="G173" i="5" s="1"/>
  <c r="L173" i="5" s="1"/>
  <c r="E174" i="5"/>
  <c r="G174" i="5" s="1"/>
  <c r="L174" i="5" s="1"/>
  <c r="E175" i="5"/>
  <c r="G175" i="5" s="1"/>
  <c r="L175" i="5" s="1"/>
  <c r="E176" i="5"/>
  <c r="G176" i="5" s="1"/>
  <c r="L176" i="5" s="1"/>
  <c r="E177" i="5"/>
  <c r="G177" i="5" s="1"/>
  <c r="L177" i="5" s="1"/>
  <c r="E178" i="5"/>
  <c r="G178" i="5" s="1"/>
  <c r="L178" i="5" s="1"/>
  <c r="E179" i="5"/>
  <c r="G179" i="5" s="1"/>
  <c r="L179" i="5" s="1"/>
  <c r="E180" i="5"/>
  <c r="G180" i="5" s="1"/>
  <c r="L180" i="5" s="1"/>
  <c r="E181" i="5"/>
  <c r="G181" i="5" s="1"/>
  <c r="L181" i="5" s="1"/>
  <c r="E182" i="5"/>
  <c r="G182" i="5" s="1"/>
  <c r="L182" i="5" s="1"/>
  <c r="E183" i="5"/>
  <c r="G183" i="5" s="1"/>
  <c r="L183" i="5" s="1"/>
  <c r="E184" i="5"/>
  <c r="G184" i="5" s="1"/>
  <c r="L184" i="5" s="1"/>
  <c r="E185" i="5"/>
  <c r="G185" i="5" s="1"/>
  <c r="L185" i="5" s="1"/>
  <c r="E186" i="5"/>
  <c r="G186" i="5" s="1"/>
  <c r="L186" i="5" s="1"/>
  <c r="E187" i="5"/>
  <c r="G187" i="5" s="1"/>
  <c r="L187" i="5" s="1"/>
  <c r="E188" i="5"/>
  <c r="G188" i="5" s="1"/>
  <c r="L188" i="5" s="1"/>
  <c r="E189" i="5"/>
  <c r="G189" i="5" s="1"/>
  <c r="L189" i="5" s="1"/>
  <c r="E190" i="5"/>
  <c r="G190" i="5" s="1"/>
  <c r="L190" i="5" s="1"/>
  <c r="E191" i="5"/>
  <c r="G191" i="5" s="1"/>
  <c r="L191" i="5" s="1"/>
  <c r="E192" i="5"/>
  <c r="G192" i="5" s="1"/>
  <c r="L192" i="5" s="1"/>
  <c r="E193" i="5"/>
  <c r="G193" i="5" s="1"/>
  <c r="L193" i="5" s="1"/>
  <c r="E194" i="5"/>
  <c r="G194" i="5" s="1"/>
  <c r="L194" i="5" s="1"/>
  <c r="E195" i="5"/>
  <c r="G195" i="5" s="1"/>
  <c r="L195" i="5" s="1"/>
  <c r="E196" i="5"/>
  <c r="G196" i="5" s="1"/>
  <c r="L196" i="5" s="1"/>
  <c r="E197" i="5"/>
  <c r="G197" i="5" s="1"/>
  <c r="L197" i="5" s="1"/>
  <c r="E198" i="5"/>
  <c r="G198" i="5" s="1"/>
  <c r="L198" i="5" s="1"/>
  <c r="E199" i="5"/>
  <c r="G199" i="5" s="1"/>
  <c r="L199" i="5" s="1"/>
  <c r="E200" i="5"/>
  <c r="G200" i="5" s="1"/>
  <c r="L200" i="5" s="1"/>
  <c r="E201" i="5"/>
  <c r="G201" i="5" s="1"/>
  <c r="E202" i="5"/>
  <c r="G202" i="5" s="1"/>
  <c r="L202" i="5" s="1"/>
  <c r="E203" i="5"/>
  <c r="G203" i="5" s="1"/>
  <c r="L203" i="5" s="1"/>
  <c r="E204" i="5"/>
  <c r="G204" i="5" s="1"/>
  <c r="L204" i="5" s="1"/>
  <c r="E205" i="5"/>
  <c r="G205" i="5" s="1"/>
  <c r="L205" i="5" s="1"/>
  <c r="E206" i="5"/>
  <c r="G206" i="5" s="1"/>
  <c r="L206" i="5" s="1"/>
  <c r="E207" i="5"/>
  <c r="G207" i="5" s="1"/>
  <c r="L207" i="5" s="1"/>
  <c r="E208" i="5"/>
  <c r="G208" i="5" s="1"/>
  <c r="L208" i="5" s="1"/>
  <c r="E209" i="5"/>
  <c r="G209" i="5" s="1"/>
  <c r="L209" i="5" s="1"/>
  <c r="E210" i="5"/>
  <c r="G210" i="5" s="1"/>
  <c r="L210" i="5" s="1"/>
  <c r="E211" i="5"/>
  <c r="G211" i="5" s="1"/>
  <c r="L211" i="5" s="1"/>
  <c r="E212" i="5"/>
  <c r="G212" i="5" s="1"/>
  <c r="L212" i="5" s="1"/>
  <c r="E213" i="5"/>
  <c r="G213" i="5" s="1"/>
  <c r="L213" i="5" s="1"/>
  <c r="E214" i="5"/>
  <c r="G214" i="5" s="1"/>
  <c r="L214" i="5" s="1"/>
  <c r="E215" i="5"/>
  <c r="G215" i="5" s="1"/>
  <c r="L215" i="5" s="1"/>
  <c r="E216" i="5"/>
  <c r="G216" i="5" s="1"/>
  <c r="L216" i="5" s="1"/>
  <c r="E217" i="5"/>
  <c r="G217" i="5" s="1"/>
  <c r="L217" i="5" s="1"/>
  <c r="G141" i="5"/>
  <c r="L141" i="5" s="1"/>
  <c r="E110" i="5"/>
  <c r="G110" i="5" s="1"/>
  <c r="L110" i="5" s="1"/>
  <c r="E111" i="5"/>
  <c r="G111" i="5" s="1"/>
  <c r="L111" i="5" s="1"/>
  <c r="E112" i="5"/>
  <c r="E113" i="5"/>
  <c r="E114" i="5"/>
  <c r="G114" i="5" s="1"/>
  <c r="L114" i="5" s="1"/>
  <c r="E115" i="5"/>
  <c r="G115" i="5" s="1"/>
  <c r="L115" i="5" s="1"/>
  <c r="E116" i="5"/>
  <c r="G116" i="5" s="1"/>
  <c r="L116" i="5" s="1"/>
  <c r="E117" i="5"/>
  <c r="E118" i="5"/>
  <c r="G118" i="5" s="1"/>
  <c r="L118" i="5" s="1"/>
  <c r="E119" i="5"/>
  <c r="G119" i="5" s="1"/>
  <c r="L119" i="5" s="1"/>
  <c r="E120" i="5"/>
  <c r="E121" i="5"/>
  <c r="E122" i="5"/>
  <c r="G122" i="5" s="1"/>
  <c r="L122" i="5" s="1"/>
  <c r="E123" i="5"/>
  <c r="G123" i="5" s="1"/>
  <c r="L123" i="5" s="1"/>
  <c r="E124" i="5"/>
  <c r="G124" i="5" s="1"/>
  <c r="L124" i="5" s="1"/>
  <c r="E125" i="5"/>
  <c r="G125" i="5" s="1"/>
  <c r="L125" i="5" s="1"/>
  <c r="E126" i="5"/>
  <c r="G126" i="5" s="1"/>
  <c r="L126" i="5" s="1"/>
  <c r="E127" i="5"/>
  <c r="G127" i="5" s="1"/>
  <c r="L127" i="5" s="1"/>
  <c r="E128" i="5"/>
  <c r="G128" i="5" s="1"/>
  <c r="L128" i="5" s="1"/>
  <c r="E129" i="5"/>
  <c r="G129" i="5" s="1"/>
  <c r="L129" i="5" s="1"/>
  <c r="E130" i="5"/>
  <c r="G130" i="5" s="1"/>
  <c r="L130" i="5" s="1"/>
  <c r="E131" i="5"/>
  <c r="G131" i="5" s="1"/>
  <c r="L131" i="5" s="1"/>
  <c r="E132" i="5"/>
  <c r="G132" i="5" s="1"/>
  <c r="L132" i="5" s="1"/>
  <c r="E133" i="5"/>
  <c r="G133" i="5" s="1"/>
  <c r="L133" i="5" s="1"/>
  <c r="E134" i="5"/>
  <c r="G134" i="5" s="1"/>
  <c r="L134" i="5" s="1"/>
  <c r="E136" i="5"/>
  <c r="G136" i="5" s="1"/>
  <c r="L136" i="5" s="1"/>
  <c r="E137" i="5"/>
  <c r="G137" i="5" s="1"/>
  <c r="L137" i="5" s="1"/>
  <c r="E138" i="5"/>
  <c r="G138" i="5" s="1"/>
  <c r="L138" i="5" s="1"/>
  <c r="E139" i="5"/>
  <c r="G139" i="5" s="1"/>
  <c r="L139" i="5" s="1"/>
  <c r="E140" i="5"/>
  <c r="G140" i="5" s="1"/>
  <c r="L140" i="5" s="1"/>
  <c r="E141" i="5"/>
  <c r="E142" i="5"/>
  <c r="G142" i="5" s="1"/>
  <c r="L142" i="5" s="1"/>
  <c r="E143" i="5"/>
  <c r="G143" i="5" s="1"/>
  <c r="L143" i="5" s="1"/>
  <c r="E144" i="5"/>
  <c r="G144" i="5" s="1"/>
  <c r="L144" i="5" s="1"/>
  <c r="E145" i="5"/>
  <c r="G145" i="5" s="1"/>
  <c r="L145" i="5" s="1"/>
  <c r="E146" i="5"/>
  <c r="G146" i="5" s="1"/>
  <c r="L146" i="5" s="1"/>
  <c r="E147" i="5"/>
  <c r="G147" i="5" s="1"/>
  <c r="L147" i="5" s="1"/>
  <c r="E148" i="5"/>
  <c r="G148" i="5" s="1"/>
  <c r="L148" i="5" s="1"/>
  <c r="E149" i="5"/>
  <c r="G149" i="5" s="1"/>
  <c r="L149" i="5" s="1"/>
  <c r="E150" i="5"/>
  <c r="G150" i="5" s="1"/>
  <c r="L150" i="5" s="1"/>
  <c r="E151" i="5"/>
  <c r="G151" i="5" s="1"/>
  <c r="L151" i="5" s="1"/>
  <c r="E152" i="5"/>
  <c r="G152" i="5" s="1"/>
  <c r="L152" i="5" s="1"/>
  <c r="E153" i="5"/>
  <c r="G153" i="5" s="1"/>
  <c r="L153" i="5" s="1"/>
  <c r="E154" i="5"/>
  <c r="G154" i="5" s="1"/>
  <c r="L154" i="5" s="1"/>
  <c r="E155" i="5"/>
  <c r="G155" i="5" s="1"/>
  <c r="L155" i="5" s="1"/>
  <c r="E156" i="5"/>
  <c r="G156" i="5" s="1"/>
  <c r="L156" i="5" s="1"/>
  <c r="E157" i="5"/>
  <c r="G157" i="5" s="1"/>
  <c r="L157" i="5" s="1"/>
  <c r="E158" i="5"/>
  <c r="G158" i="5" s="1"/>
  <c r="L158" i="5" s="1"/>
  <c r="E159" i="5"/>
  <c r="G159" i="5" s="1"/>
  <c r="L159" i="5" s="1"/>
  <c r="E160" i="5"/>
  <c r="G160" i="5" s="1"/>
  <c r="L160" i="5" s="1"/>
  <c r="E161" i="5"/>
  <c r="G161" i="5" s="1"/>
  <c r="L161" i="5" s="1"/>
  <c r="E162" i="5"/>
  <c r="G162" i="5" s="1"/>
  <c r="L162" i="5" s="1"/>
  <c r="E163" i="5"/>
  <c r="G163" i="5" s="1"/>
  <c r="L163" i="5" s="1"/>
  <c r="E56" i="5"/>
  <c r="E57" i="5"/>
  <c r="G57" i="5" s="1"/>
  <c r="L57" i="5" s="1"/>
  <c r="E58" i="5"/>
  <c r="G58" i="5" s="1"/>
  <c r="L58" i="5" s="1"/>
  <c r="E59" i="5"/>
  <c r="G59" i="5" s="1"/>
  <c r="L59" i="5" s="1"/>
  <c r="E60" i="5"/>
  <c r="E61" i="5"/>
  <c r="E62" i="5"/>
  <c r="G62" i="5" s="1"/>
  <c r="L62" i="5" s="1"/>
  <c r="E63" i="5"/>
  <c r="G63" i="5" s="1"/>
  <c r="L63" i="5" s="1"/>
  <c r="E64" i="5"/>
  <c r="G64" i="5" s="1"/>
  <c r="L64" i="5" s="1"/>
  <c r="E65" i="5"/>
  <c r="E66" i="5"/>
  <c r="G66" i="5" s="1"/>
  <c r="L66" i="5" s="1"/>
  <c r="E67" i="5"/>
  <c r="G67" i="5" s="1"/>
  <c r="L67" i="5" s="1"/>
  <c r="E68" i="5"/>
  <c r="G68" i="5" s="1"/>
  <c r="L68" i="5" s="1"/>
  <c r="E69" i="5"/>
  <c r="E70" i="5"/>
  <c r="G70" i="5" s="1"/>
  <c r="L70" i="5" s="1"/>
  <c r="E71" i="5"/>
  <c r="G71" i="5" s="1"/>
  <c r="L71" i="5" s="1"/>
  <c r="E72" i="5"/>
  <c r="E73" i="5"/>
  <c r="E74" i="5"/>
  <c r="G74" i="5" s="1"/>
  <c r="L74" i="5" s="1"/>
  <c r="E75" i="5"/>
  <c r="G75" i="5" s="1"/>
  <c r="L75" i="5" s="1"/>
  <c r="E76" i="5"/>
  <c r="G76" i="5" s="1"/>
  <c r="L76" i="5" s="1"/>
  <c r="E77" i="5"/>
  <c r="E78" i="5"/>
  <c r="G78" i="5" s="1"/>
  <c r="L78" i="5" s="1"/>
  <c r="E79" i="5"/>
  <c r="G79" i="5" s="1"/>
  <c r="L79" i="5" s="1"/>
  <c r="E80" i="5"/>
  <c r="E81" i="5"/>
  <c r="E82" i="5"/>
  <c r="G82" i="5" s="1"/>
  <c r="L82" i="5" s="1"/>
  <c r="E83" i="5"/>
  <c r="G83" i="5" s="1"/>
  <c r="L83" i="5" s="1"/>
  <c r="E84" i="5"/>
  <c r="G84" i="5" s="1"/>
  <c r="L84" i="5" s="1"/>
  <c r="E85" i="5"/>
  <c r="E86" i="5"/>
  <c r="G86" i="5" s="1"/>
  <c r="L86" i="5" s="1"/>
  <c r="E87" i="5"/>
  <c r="G87" i="5" s="1"/>
  <c r="L87" i="5" s="1"/>
  <c r="E88" i="5"/>
  <c r="E89" i="5"/>
  <c r="E90" i="5"/>
  <c r="G90" i="5" s="1"/>
  <c r="L90" i="5" s="1"/>
  <c r="E91" i="5"/>
  <c r="G91" i="5" s="1"/>
  <c r="L91" i="5" s="1"/>
  <c r="E92" i="5"/>
  <c r="G92" i="5" s="1"/>
  <c r="L92" i="5" s="1"/>
  <c r="E93" i="5"/>
  <c r="E94" i="5"/>
  <c r="G94" i="5" s="1"/>
  <c r="L94" i="5" s="1"/>
  <c r="E95" i="5"/>
  <c r="G95" i="5" s="1"/>
  <c r="L95" i="5" s="1"/>
  <c r="E96" i="5"/>
  <c r="E97" i="5"/>
  <c r="E98" i="5"/>
  <c r="G98" i="5" s="1"/>
  <c r="L98" i="5" s="1"/>
  <c r="E99" i="5"/>
  <c r="G99" i="5" s="1"/>
  <c r="L99" i="5" s="1"/>
  <c r="E100" i="5"/>
  <c r="G100" i="5" s="1"/>
  <c r="L100" i="5" s="1"/>
  <c r="E101" i="5"/>
  <c r="E102" i="5"/>
  <c r="G102" i="5" s="1"/>
  <c r="L102" i="5" s="1"/>
  <c r="E103" i="5"/>
  <c r="G103" i="5" s="1"/>
  <c r="L103" i="5" s="1"/>
  <c r="E104" i="5"/>
  <c r="E105" i="5"/>
  <c r="E106" i="5"/>
  <c r="G106" i="5" s="1"/>
  <c r="L106" i="5" s="1"/>
  <c r="E107" i="5"/>
  <c r="G107" i="5" s="1"/>
  <c r="L107" i="5" s="1"/>
  <c r="E108" i="5"/>
  <c r="G108" i="5" s="1"/>
  <c r="L108" i="5" s="1"/>
  <c r="E109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G34" i="5" s="1"/>
  <c r="L34" i="5" s="1"/>
  <c r="E35" i="5"/>
  <c r="G35" i="5" s="1"/>
  <c r="L35" i="5" s="1"/>
  <c r="E36" i="5"/>
  <c r="E37" i="5"/>
  <c r="E38" i="5"/>
  <c r="G38" i="5" s="1"/>
  <c r="L38" i="5" s="1"/>
  <c r="E39" i="5"/>
  <c r="G39" i="5" s="1"/>
  <c r="L39" i="5" s="1"/>
  <c r="E40" i="5"/>
  <c r="E41" i="5"/>
  <c r="E42" i="5"/>
  <c r="E43" i="5"/>
  <c r="G43" i="5" s="1"/>
  <c r="L43" i="5" s="1"/>
  <c r="E44" i="5"/>
  <c r="E45" i="5"/>
  <c r="E46" i="5"/>
  <c r="G46" i="5" s="1"/>
  <c r="L46" i="5" s="1"/>
  <c r="E47" i="5"/>
  <c r="G47" i="5" s="1"/>
  <c r="L47" i="5" s="1"/>
  <c r="E48" i="5"/>
  <c r="E49" i="5"/>
  <c r="G49" i="5" s="1"/>
  <c r="L49" i="5" s="1"/>
  <c r="E50" i="5"/>
  <c r="E51" i="5"/>
  <c r="G51" i="5" s="1"/>
  <c r="L51" i="5" s="1"/>
  <c r="E52" i="5"/>
  <c r="E53" i="5"/>
  <c r="E54" i="5"/>
  <c r="G54" i="5" s="1"/>
  <c r="L54" i="5" s="1"/>
  <c r="E55" i="5"/>
  <c r="G55" i="5" s="1"/>
  <c r="L55" i="5" s="1"/>
  <c r="E20" i="5"/>
  <c r="E12" i="5"/>
  <c r="E13" i="5"/>
  <c r="E14" i="5"/>
  <c r="E15" i="5"/>
  <c r="E16" i="5"/>
  <c r="E17" i="5"/>
  <c r="E18" i="5"/>
  <c r="E19" i="5"/>
  <c r="E11" i="5"/>
  <c r="E7" i="5"/>
  <c r="E8" i="5"/>
  <c r="E9" i="5"/>
  <c r="E10" i="5"/>
  <c r="E3" i="5"/>
  <c r="E4" i="5"/>
  <c r="E5" i="5"/>
  <c r="E6" i="5"/>
  <c r="E2" i="5"/>
  <c r="D20" i="30" l="1"/>
  <c r="C17" i="30"/>
  <c r="D29" i="30"/>
  <c r="C26" i="30"/>
  <c r="D17" i="30"/>
  <c r="D26" i="30"/>
  <c r="C14" i="29"/>
  <c r="D14" i="29"/>
  <c r="D26" i="29"/>
  <c r="C13" i="29"/>
  <c r="D13" i="29"/>
  <c r="C19" i="29"/>
  <c r="D31" i="29"/>
  <c r="C12" i="29"/>
  <c r="D12" i="29"/>
  <c r="D19" i="29"/>
  <c r="C35" i="29"/>
  <c r="D47" i="29"/>
  <c r="C11" i="29"/>
  <c r="D11" i="29"/>
  <c r="C20" i="29"/>
  <c r="D35" i="29"/>
  <c r="C48" i="29"/>
  <c r="C60" i="29"/>
  <c r="C6" i="29"/>
  <c r="D6" i="29"/>
  <c r="D53" i="30"/>
  <c r="C55" i="30"/>
  <c r="D55" i="30"/>
  <c r="C52" i="30"/>
  <c r="C56" i="30"/>
  <c r="C54" i="30"/>
  <c r="D54" i="30"/>
  <c r="D52" i="30"/>
  <c r="C44" i="30"/>
  <c r="D44" i="30"/>
  <c r="C45" i="30"/>
  <c r="D45" i="30"/>
  <c r="C46" i="30"/>
  <c r="D46" i="30"/>
  <c r="C43" i="30"/>
  <c r="C47" i="30"/>
  <c r="D43" i="30"/>
  <c r="C35" i="30"/>
  <c r="D35" i="30"/>
  <c r="C36" i="30"/>
  <c r="D36" i="30"/>
  <c r="D37" i="30"/>
  <c r="C34" i="30"/>
  <c r="C38" i="30"/>
  <c r="C37" i="30"/>
  <c r="D34" i="30"/>
  <c r="C27" i="30"/>
  <c r="D27" i="30"/>
  <c r="C28" i="30"/>
  <c r="D28" i="30"/>
  <c r="C25" i="30"/>
  <c r="C29" i="30"/>
  <c r="D25" i="30"/>
  <c r="C19" i="30"/>
  <c r="D19" i="30"/>
  <c r="C16" i="30"/>
  <c r="C20" i="30"/>
  <c r="C18" i="30"/>
  <c r="D18" i="30"/>
  <c r="D16" i="30"/>
  <c r="D11" i="30"/>
  <c r="D7" i="30"/>
  <c r="D9" i="30"/>
  <c r="D8" i="30"/>
  <c r="C8" i="30"/>
  <c r="C11" i="30"/>
  <c r="C7" i="30"/>
  <c r="C9" i="30"/>
  <c r="C10" i="30"/>
  <c r="D10" i="30"/>
  <c r="C67" i="29"/>
  <c r="D71" i="29"/>
  <c r="C71" i="29"/>
  <c r="D74" i="29"/>
  <c r="D67" i="29"/>
  <c r="C73" i="29"/>
  <c r="D69" i="29"/>
  <c r="D73" i="29"/>
  <c r="C68" i="29"/>
  <c r="C72" i="29"/>
  <c r="D68" i="29"/>
  <c r="D72" i="29"/>
  <c r="C69" i="29"/>
  <c r="C70" i="29"/>
  <c r="C74" i="29"/>
  <c r="D70" i="29"/>
  <c r="D56" i="29"/>
  <c r="D60" i="29"/>
  <c r="C57" i="29"/>
  <c r="D61" i="29"/>
  <c r="C58" i="29"/>
  <c r="C62" i="29"/>
  <c r="C61" i="29"/>
  <c r="D57" i="29"/>
  <c r="D58" i="29"/>
  <c r="C49" i="29"/>
  <c r="D49" i="29"/>
  <c r="C46" i="29"/>
  <c r="C50" i="29"/>
  <c r="C45" i="29"/>
  <c r="D45" i="29"/>
  <c r="D46" i="29"/>
  <c r="C32" i="29"/>
  <c r="D36" i="29"/>
  <c r="C33" i="29"/>
  <c r="D33" i="29"/>
  <c r="D37" i="29"/>
  <c r="C36" i="29"/>
  <c r="D32" i="29"/>
  <c r="C37" i="29"/>
  <c r="C34" i="29"/>
  <c r="C38" i="29"/>
  <c r="D34" i="29"/>
  <c r="D20" i="29"/>
  <c r="C25" i="29"/>
  <c r="D21" i="29"/>
  <c r="D25" i="29"/>
  <c r="C22" i="29"/>
  <c r="C26" i="29"/>
  <c r="D24" i="29"/>
  <c r="C21" i="29"/>
  <c r="D22" i="29"/>
  <c r="E65" i="10"/>
  <c r="D13" i="25" s="1"/>
  <c r="F64" i="10"/>
  <c r="E12" i="25" s="1"/>
  <c r="G63" i="10"/>
  <c r="F11" i="25" s="1"/>
  <c r="H62" i="10"/>
  <c r="G10" i="25" s="1"/>
  <c r="I61" i="10"/>
  <c r="H9" i="25" s="1"/>
  <c r="J60" i="10"/>
  <c r="I8" i="25" s="1"/>
  <c r="B36" i="20" a="1"/>
  <c r="B36" i="20" s="1"/>
  <c r="G64" i="10"/>
  <c r="F12" i="25" s="1"/>
  <c r="I62" i="10"/>
  <c r="H10" i="25" s="1"/>
  <c r="E66" i="10"/>
  <c r="D14" i="25" s="1"/>
  <c r="J62" i="10"/>
  <c r="I10" i="25" s="1"/>
  <c r="F59" i="10"/>
  <c r="E7" i="25" s="1"/>
  <c r="I64" i="10"/>
  <c r="H12" i="25" s="1"/>
  <c r="I65" i="10"/>
  <c r="H13" i="25" s="1"/>
  <c r="E62" i="10"/>
  <c r="D10" i="25" s="1"/>
  <c r="F61" i="10"/>
  <c r="E9" i="25" s="1"/>
  <c r="G60" i="10"/>
  <c r="F8" i="25" s="1"/>
  <c r="H59" i="10"/>
  <c r="G7" i="25" s="1"/>
  <c r="H67" i="10"/>
  <c r="G15" i="25" s="1"/>
  <c r="I66" i="10"/>
  <c r="H14" i="25" s="1"/>
  <c r="J65" i="10"/>
  <c r="I13" i="25" s="1"/>
  <c r="E67" i="10"/>
  <c r="D15" i="25" s="1"/>
  <c r="F65" i="10"/>
  <c r="E13" i="25" s="1"/>
  <c r="H63" i="10"/>
  <c r="G11" i="25" s="1"/>
  <c r="J61" i="10"/>
  <c r="I9" i="25" s="1"/>
  <c r="E59" i="10"/>
  <c r="D7" i="25" s="1"/>
  <c r="F66" i="10"/>
  <c r="E14" i="25" s="1"/>
  <c r="G65" i="10"/>
  <c r="F13" i="25" s="1"/>
  <c r="H64" i="10"/>
  <c r="G12" i="25" s="1"/>
  <c r="I63" i="10"/>
  <c r="H11" i="25" s="1"/>
  <c r="E60" i="10"/>
  <c r="D8" i="25" s="1"/>
  <c r="F67" i="10"/>
  <c r="E15" i="25" s="1"/>
  <c r="G66" i="10"/>
  <c r="F14" i="25" s="1"/>
  <c r="H65" i="10"/>
  <c r="G13" i="25" s="1"/>
  <c r="J63" i="10"/>
  <c r="I11" i="25" s="1"/>
  <c r="E61" i="10"/>
  <c r="D9" i="25" s="1"/>
  <c r="F60" i="10"/>
  <c r="E8" i="25" s="1"/>
  <c r="G59" i="10"/>
  <c r="F7" i="25" s="1"/>
  <c r="G67" i="10"/>
  <c r="F15" i="25" s="1"/>
  <c r="H66" i="10"/>
  <c r="G14" i="25" s="1"/>
  <c r="J64" i="10"/>
  <c r="I12" i="25" s="1"/>
  <c r="E63" i="10"/>
  <c r="D11" i="25" s="1"/>
  <c r="F62" i="10"/>
  <c r="E10" i="25" s="1"/>
  <c r="G61" i="10"/>
  <c r="F9" i="25" s="1"/>
  <c r="H60" i="10"/>
  <c r="G8" i="25" s="1"/>
  <c r="I59" i="10"/>
  <c r="H7" i="25" s="1"/>
  <c r="I67" i="10"/>
  <c r="H15" i="25" s="1"/>
  <c r="J66" i="10"/>
  <c r="I14" i="25" s="1"/>
  <c r="E64" i="10"/>
  <c r="D12" i="25" s="1"/>
  <c r="F63" i="10"/>
  <c r="E11" i="25" s="1"/>
  <c r="G62" i="10"/>
  <c r="F10" i="25" s="1"/>
  <c r="H61" i="10"/>
  <c r="G9" i="25" s="1"/>
  <c r="I60" i="10"/>
  <c r="H8" i="25" s="1"/>
  <c r="J59" i="10"/>
  <c r="I7" i="25" s="1"/>
  <c r="B10" i="20" a="1"/>
  <c r="B10" i="20" s="1"/>
  <c r="B9" i="19" a="1"/>
  <c r="B9" i="19" s="1"/>
  <c r="B23" i="20" a="1"/>
  <c r="B23" i="20" s="1"/>
  <c r="B10" i="18" a="1"/>
  <c r="C15" i="18" s="1"/>
  <c r="E5" i="16" a="1"/>
  <c r="E5" i="16" s="1"/>
  <c r="B10" i="17" a="1"/>
  <c r="B10" i="17" s="1"/>
  <c r="D10" i="17" s="1"/>
  <c r="G42" i="5"/>
  <c r="L42" i="5" s="1"/>
  <c r="G41" i="5"/>
  <c r="L41" i="5" s="1"/>
  <c r="G50" i="5"/>
  <c r="L50" i="5" s="1"/>
  <c r="G33" i="5"/>
  <c r="L33" i="5" s="1"/>
  <c r="G80" i="5"/>
  <c r="L80" i="5" s="1"/>
  <c r="G96" i="5"/>
  <c r="L96" i="5" s="1"/>
  <c r="G112" i="5"/>
  <c r="L112" i="5" s="1"/>
  <c r="G120" i="5"/>
  <c r="L120" i="5" s="1"/>
  <c r="G36" i="5"/>
  <c r="L36" i="5" s="1"/>
  <c r="G44" i="5"/>
  <c r="L44" i="5" s="1"/>
  <c r="G52" i="5"/>
  <c r="L52" i="5" s="1"/>
  <c r="G60" i="5"/>
  <c r="L60" i="5" s="1"/>
  <c r="G65" i="5"/>
  <c r="L65" i="5" s="1"/>
  <c r="G69" i="5"/>
  <c r="L69" i="5" s="1"/>
  <c r="G73" i="5"/>
  <c r="L73" i="5" s="1"/>
  <c r="G77" i="5"/>
  <c r="L77" i="5" s="1"/>
  <c r="G81" i="5"/>
  <c r="L81" i="5" s="1"/>
  <c r="G85" i="5"/>
  <c r="L85" i="5" s="1"/>
  <c r="G89" i="5"/>
  <c r="L89" i="5" s="1"/>
  <c r="G93" i="5"/>
  <c r="L93" i="5" s="1"/>
  <c r="G97" i="5"/>
  <c r="L97" i="5" s="1"/>
  <c r="G101" i="5"/>
  <c r="L101" i="5" s="1"/>
  <c r="G105" i="5"/>
  <c r="L105" i="5" s="1"/>
  <c r="G109" i="5"/>
  <c r="L109" i="5" s="1"/>
  <c r="G113" i="5"/>
  <c r="L113" i="5" s="1"/>
  <c r="G117" i="5"/>
  <c r="L117" i="5" s="1"/>
  <c r="G121" i="5"/>
  <c r="L121" i="5" s="1"/>
  <c r="G72" i="5"/>
  <c r="L72" i="5" s="1"/>
  <c r="G88" i="5"/>
  <c r="L88" i="5" s="1"/>
  <c r="G104" i="5"/>
  <c r="L104" i="5" s="1"/>
  <c r="G32" i="5"/>
  <c r="L32" i="5" s="1"/>
  <c r="G40" i="5"/>
  <c r="L40" i="5" s="1"/>
  <c r="G48" i="5"/>
  <c r="L48" i="5" s="1"/>
  <c r="G56" i="5"/>
  <c r="L56" i="5" s="1"/>
  <c r="G37" i="5"/>
  <c r="L37" i="5" s="1"/>
  <c r="G45" i="5"/>
  <c r="L45" i="5" s="1"/>
  <c r="G53" i="5"/>
  <c r="L53" i="5" s="1"/>
  <c r="G61" i="5"/>
  <c r="L61" i="5" s="1"/>
  <c r="G2" i="5"/>
  <c r="L2" i="5" s="1"/>
  <c r="G31" i="5"/>
  <c r="L31" i="5" s="1"/>
  <c r="G30" i="5"/>
  <c r="L30" i="5" s="1"/>
  <c r="G29" i="5"/>
  <c r="L29" i="5" s="1"/>
  <c r="G26" i="5"/>
  <c r="L26" i="5" s="1"/>
  <c r="G25" i="5"/>
  <c r="L25" i="5" s="1"/>
  <c r="G24" i="5"/>
  <c r="L24" i="5" s="1"/>
  <c r="G23" i="5"/>
  <c r="L23" i="5" s="1"/>
  <c r="G22" i="5"/>
  <c r="L22" i="5" s="1"/>
  <c r="G21" i="5"/>
  <c r="L21" i="5" s="1"/>
  <c r="G18" i="5"/>
  <c r="L18" i="5" s="1"/>
  <c r="G17" i="5"/>
  <c r="L17" i="5" s="1"/>
  <c r="G16" i="5"/>
  <c r="L16" i="5" s="1"/>
  <c r="G15" i="5"/>
  <c r="L15" i="5" s="1"/>
  <c r="G14" i="5"/>
  <c r="L14" i="5" s="1"/>
  <c r="G13" i="5"/>
  <c r="L13" i="5" s="1"/>
  <c r="G10" i="5"/>
  <c r="L10" i="5" s="1"/>
  <c r="G9" i="5"/>
  <c r="L9" i="5" s="1"/>
  <c r="G8" i="5"/>
  <c r="L8" i="5" s="1"/>
  <c r="G7" i="5"/>
  <c r="L7" i="5" s="1"/>
  <c r="G6" i="5"/>
  <c r="L6" i="5" s="1"/>
  <c r="G5" i="5"/>
  <c r="L5" i="5" s="1"/>
  <c r="G28" i="5"/>
  <c r="L28" i="5" s="1"/>
  <c r="G12" i="5"/>
  <c r="L12" i="5" s="1"/>
  <c r="G27" i="5"/>
  <c r="L27" i="5" s="1"/>
  <c r="G11" i="5"/>
  <c r="L11" i="5" s="1"/>
  <c r="G20" i="5"/>
  <c r="L20" i="5" s="1"/>
  <c r="G4" i="5"/>
  <c r="L4" i="5" s="1"/>
  <c r="G19" i="5"/>
  <c r="L19" i="5" s="1"/>
  <c r="G3" i="5"/>
  <c r="L3" i="5" s="1"/>
  <c r="C51" i="30" l="1"/>
  <c r="D51" i="30"/>
  <c r="C42" i="30"/>
  <c r="D42" i="30"/>
  <c r="D33" i="30"/>
  <c r="C33" i="30"/>
  <c r="D24" i="30"/>
  <c r="C24" i="30"/>
  <c r="D15" i="30"/>
  <c r="C15" i="30"/>
  <c r="D6" i="30"/>
  <c r="C6" i="30"/>
  <c r="D66" i="29"/>
  <c r="C66" i="29"/>
  <c r="D54" i="29"/>
  <c r="C54" i="29"/>
  <c r="D42" i="29"/>
  <c r="C42" i="29"/>
  <c r="D30" i="29"/>
  <c r="C30" i="29"/>
  <c r="D18" i="29"/>
  <c r="C18" i="29"/>
  <c r="E7" i="16"/>
  <c r="E6" i="16"/>
  <c r="C13" i="17"/>
  <c r="C14" i="17"/>
  <c r="C10" i="17"/>
  <c r="D16" i="17"/>
  <c r="C16" i="17"/>
  <c r="D17" i="17"/>
  <c r="D13" i="17"/>
  <c r="C17" i="17"/>
  <c r="D15" i="17"/>
  <c r="D12" i="17"/>
  <c r="D18" i="17"/>
  <c r="C11" i="18"/>
  <c r="D14" i="17"/>
  <c r="D11" i="17"/>
  <c r="D15" i="18"/>
  <c r="C12" i="17"/>
  <c r="C18" i="17"/>
  <c r="C15" i="17"/>
  <c r="C11" i="17"/>
  <c r="C14" i="18"/>
  <c r="D12" i="18"/>
  <c r="C12" i="18"/>
  <c r="D11" i="18"/>
  <c r="B10" i="18"/>
  <c r="C13" i="18"/>
  <c r="D14" i="18"/>
  <c r="D13" i="18"/>
  <c r="D10" i="18" l="1"/>
  <c r="C1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<sst xmlns="http://schemas.openxmlformats.org/spreadsheetml/2006/main" count="3178" uniqueCount="220">
  <si>
    <t>TIME TABLE FOR MBA HEALTH CARE</t>
  </si>
  <si>
    <t>Second Semester</t>
  </si>
  <si>
    <t>TIME SLOTS</t>
  </si>
  <si>
    <t>MONDAY</t>
  </si>
  <si>
    <t>TUESDAY</t>
  </si>
  <si>
    <t>WEDNESDAY</t>
  </si>
  <si>
    <t>THURSDAY</t>
  </si>
  <si>
    <t>FRIDAY</t>
  </si>
  <si>
    <t>SATURDAY</t>
  </si>
  <si>
    <t>09:00-10:00</t>
  </si>
  <si>
    <t>HC205</t>
  </si>
  <si>
    <t>HC204</t>
  </si>
  <si>
    <t>HC203</t>
  </si>
  <si>
    <t>10:00-11:00</t>
  </si>
  <si>
    <t>HC206</t>
  </si>
  <si>
    <t>11:00-12:00</t>
  </si>
  <si>
    <t>HC 201</t>
  </si>
  <si>
    <t>HC207</t>
  </si>
  <si>
    <t>HC202</t>
  </si>
  <si>
    <t>12:00-01:00</t>
  </si>
  <si>
    <t>01:00-02:00    L U N C H   B R E A K</t>
  </si>
  <si>
    <t>L U N C H  B R E A K</t>
  </si>
  <si>
    <t>02:00-03:00</t>
  </si>
  <si>
    <t>CEO Talks/Alumni Talks/Presentations</t>
  </si>
  <si>
    <t>HC209</t>
  </si>
  <si>
    <t>03:00-04:00</t>
  </si>
  <si>
    <t>04:00-05:00</t>
  </si>
  <si>
    <t>HC208</t>
  </si>
  <si>
    <t>Mentoring</t>
  </si>
  <si>
    <t>05:00-06:00</t>
  </si>
  <si>
    <t>COURSE CODE</t>
  </si>
  <si>
    <t>COURSE TITLE</t>
  </si>
  <si>
    <t>Faculty name</t>
  </si>
  <si>
    <t>Human Resource Management</t>
  </si>
  <si>
    <t>Prof.P.Jyothi</t>
  </si>
  <si>
    <t>Financial Management</t>
  </si>
  <si>
    <t>Prof.V.Mary Jessica</t>
  </si>
  <si>
    <t>Revenue Cycle Management</t>
  </si>
  <si>
    <t>Dr. Ranjith Kumar Dehury</t>
  </si>
  <si>
    <t>Business Analytics For Decision Making</t>
  </si>
  <si>
    <t>Dr.D.V. Srinivas Kumar</t>
  </si>
  <si>
    <t>Operations Management</t>
  </si>
  <si>
    <t>Prof. G.V.R.K Acharyulu</t>
  </si>
  <si>
    <t>Health Economics</t>
  </si>
  <si>
    <t>TBD</t>
  </si>
  <si>
    <t xml:space="preserve">Hospital Functions And Support Services </t>
  </si>
  <si>
    <t>Dr. Sapna Singh</t>
  </si>
  <si>
    <t>Patient Care Services Management</t>
  </si>
  <si>
    <t>Research Methodology</t>
  </si>
  <si>
    <t>Dr. P. Murugan</t>
  </si>
  <si>
    <t>TIME TABLE FOR MBA BUSINSS ANALYTICS</t>
  </si>
  <si>
    <t>BA 203</t>
  </si>
  <si>
    <t>BA 205</t>
  </si>
  <si>
    <t>BA 206</t>
  </si>
  <si>
    <t>BA 207</t>
  </si>
  <si>
    <t>BA 201</t>
  </si>
  <si>
    <t>BA 202</t>
  </si>
  <si>
    <t>BA 209</t>
  </si>
  <si>
    <t>BA 204</t>
  </si>
  <si>
    <t>BA 208</t>
  </si>
  <si>
    <t>Fourth Semeter</t>
  </si>
  <si>
    <t>BA 404</t>
  </si>
  <si>
    <t>BA 403</t>
  </si>
  <si>
    <t>BA201</t>
  </si>
  <si>
    <t>Econometrics and Business Forecasting</t>
  </si>
  <si>
    <t>Raghavendra Kushawaha</t>
  </si>
  <si>
    <t>BA202</t>
  </si>
  <si>
    <t xml:space="preserve">Dr. R. Prasanth Kumar </t>
  </si>
  <si>
    <t>BA203</t>
  </si>
  <si>
    <t>Operations Research</t>
  </si>
  <si>
    <t>Dr. Pramod Kumar Mishra</t>
  </si>
  <si>
    <t>BA204</t>
  </si>
  <si>
    <t>Marketing Research</t>
  </si>
  <si>
    <t>Dr.D.V Srinivas Kumar</t>
  </si>
  <si>
    <t>BA205</t>
  </si>
  <si>
    <t>Operations &amp; Supply Chain Management</t>
  </si>
  <si>
    <t>Prof. G.V.R.K. Acharyulu</t>
  </si>
  <si>
    <t>BA206</t>
  </si>
  <si>
    <t>Data Warehousing and OLAP</t>
  </si>
  <si>
    <t>BA207</t>
  </si>
  <si>
    <t>Machine Learning and Data Mining</t>
  </si>
  <si>
    <t>Brigadier Chandrashekhar</t>
  </si>
  <si>
    <t>BA208</t>
  </si>
  <si>
    <t>Data Visualization</t>
  </si>
  <si>
    <t>Danial Jadi</t>
  </si>
  <si>
    <t>BA209</t>
  </si>
  <si>
    <t>Spreadsheet Modelling</t>
  </si>
  <si>
    <t>Dr. I. Loknandha reddy</t>
  </si>
  <si>
    <t>BA403</t>
  </si>
  <si>
    <t>Project Management</t>
  </si>
  <si>
    <t>BA404</t>
  </si>
  <si>
    <t>Supply Chain Analytics</t>
  </si>
  <si>
    <t>BA406</t>
  </si>
  <si>
    <t>Project work</t>
  </si>
  <si>
    <t>LUNCH</t>
  </si>
  <si>
    <t>NA</t>
  </si>
  <si>
    <t>LEISURE</t>
  </si>
  <si>
    <t>TIME TABLE FOR MBA GENERAL</t>
  </si>
  <si>
    <t>TIME TABLE FOR SECOND SEMESTER</t>
  </si>
  <si>
    <t>TIME TABLE FOR FOURTH SEMESTER</t>
  </si>
  <si>
    <t>GE202</t>
  </si>
  <si>
    <t>GE471</t>
  </si>
  <si>
    <t>GE452</t>
  </si>
  <si>
    <t>GE462</t>
  </si>
  <si>
    <t>GE205</t>
  </si>
  <si>
    <t>GE432</t>
  </si>
  <si>
    <t>GE441</t>
  </si>
  <si>
    <t>GE203</t>
  </si>
  <si>
    <t>GE451</t>
  </si>
  <si>
    <t>GE204</t>
  </si>
  <si>
    <t>GE431</t>
  </si>
  <si>
    <t>GE442</t>
  </si>
  <si>
    <t>GE472</t>
  </si>
  <si>
    <t>GE461</t>
  </si>
  <si>
    <t>Issues in HRM</t>
  </si>
  <si>
    <t>Prof. P. Jyothi</t>
  </si>
  <si>
    <t>GE201</t>
  </si>
  <si>
    <t>Business Analytics for Decision Making</t>
  </si>
  <si>
    <t>Performance Management and Counselling</t>
  </si>
  <si>
    <t>Dr. Punam Singh</t>
  </si>
  <si>
    <t>Customer relationship Management</t>
  </si>
  <si>
    <t>Advertising and Brand Management</t>
  </si>
  <si>
    <t>Prof. Chetan Srivastava</t>
  </si>
  <si>
    <t>Strategic Marketing</t>
  </si>
  <si>
    <t>Securities analysis and Portfolio management</t>
  </si>
  <si>
    <t>Dr. Prasanth Kumar</t>
  </si>
  <si>
    <t>Dr. K. Ramulu</t>
  </si>
  <si>
    <t>Financial Risk Management</t>
  </si>
  <si>
    <t>GE206</t>
  </si>
  <si>
    <t>GE207</t>
  </si>
  <si>
    <t>Reearch Methodology For Managers</t>
  </si>
  <si>
    <t>Theory of Constraints</t>
  </si>
  <si>
    <t>GE208</t>
  </si>
  <si>
    <t>Cost and Management Accounting</t>
  </si>
  <si>
    <t>Leisure</t>
  </si>
  <si>
    <t>Daniel</t>
  </si>
  <si>
    <t>GE401</t>
  </si>
  <si>
    <t>Final Project</t>
  </si>
  <si>
    <t>ALL FACULTY</t>
  </si>
  <si>
    <t>BA</t>
  </si>
  <si>
    <t>HC</t>
  </si>
  <si>
    <t>GEN</t>
  </si>
  <si>
    <t>SEMESTER</t>
  </si>
  <si>
    <t>COURSE</t>
  </si>
  <si>
    <t>DAY</t>
  </si>
  <si>
    <t>TIME</t>
  </si>
  <si>
    <t>DAY CODE</t>
  </si>
  <si>
    <t>TIME CODE</t>
  </si>
  <si>
    <t>CODE</t>
  </si>
  <si>
    <t>SUB CODE</t>
  </si>
  <si>
    <t>SUB</t>
  </si>
  <si>
    <t>FACULTY</t>
  </si>
  <si>
    <t>01:00-02:00</t>
  </si>
  <si>
    <t>Econometrics</t>
  </si>
  <si>
    <t>Data Warehousing &amp; OLAP</t>
  </si>
  <si>
    <t>Machine Learning &amp; Data Mining</t>
  </si>
  <si>
    <t>Daniel Jadi</t>
  </si>
  <si>
    <t>GE</t>
  </si>
  <si>
    <t>Dr.Punam Singh</t>
  </si>
  <si>
    <t>HC &amp; HM</t>
  </si>
  <si>
    <t>HC201</t>
  </si>
  <si>
    <t>BA SEM-2</t>
  </si>
  <si>
    <t>BA SEM-4</t>
  </si>
  <si>
    <t>MON</t>
  </si>
  <si>
    <t>TUES</t>
  </si>
  <si>
    <t>WED</t>
  </si>
  <si>
    <t>THU</t>
  </si>
  <si>
    <t>FRI</t>
  </si>
  <si>
    <t>SAT</t>
  </si>
  <si>
    <t>GEN SEM-2</t>
  </si>
  <si>
    <t>GEN SEM-4</t>
  </si>
  <si>
    <t>HC SEM-2</t>
  </si>
  <si>
    <t>HC SEM-4</t>
  </si>
  <si>
    <t>Sem</t>
  </si>
  <si>
    <t>Course</t>
  </si>
  <si>
    <t>Day</t>
  </si>
  <si>
    <t>FAC</t>
  </si>
  <si>
    <t>Time</t>
  </si>
  <si>
    <t>Row</t>
  </si>
  <si>
    <t>Column</t>
  </si>
  <si>
    <t>Area</t>
  </si>
  <si>
    <t>Col</t>
  </si>
  <si>
    <t>SEM</t>
  </si>
  <si>
    <t>SUBJECT</t>
  </si>
  <si>
    <t>Instant</t>
  </si>
  <si>
    <t>Timings</t>
  </si>
  <si>
    <t>Courses</t>
  </si>
  <si>
    <t>Semesters</t>
  </si>
  <si>
    <t>Faculty</t>
  </si>
  <si>
    <t>SEMESTER - 2</t>
  </si>
  <si>
    <t>SEMESTER - 4</t>
  </si>
  <si>
    <t>SUNDAY</t>
  </si>
  <si>
    <t>NAV</t>
  </si>
  <si>
    <t>Operations management</t>
  </si>
  <si>
    <t>GUEST</t>
  </si>
  <si>
    <t>Research Methodology For Managers</t>
  </si>
  <si>
    <t>BC</t>
  </si>
  <si>
    <t>DJ</t>
  </si>
  <si>
    <t>PS</t>
  </si>
  <si>
    <t>PJ</t>
  </si>
  <si>
    <t>RK</t>
  </si>
  <si>
    <t>IL</t>
  </si>
  <si>
    <t>KR</t>
  </si>
  <si>
    <t>PM</t>
  </si>
  <si>
    <t>PK</t>
  </si>
  <si>
    <t>SS</t>
  </si>
  <si>
    <t>CS</t>
  </si>
  <si>
    <t>MJ</t>
  </si>
  <si>
    <t>RP</t>
  </si>
  <si>
    <t>DV</t>
  </si>
  <si>
    <t>GV</t>
  </si>
  <si>
    <t>FAC CODE</t>
  </si>
  <si>
    <t xml:space="preserve">PK </t>
  </si>
  <si>
    <t>GU</t>
  </si>
  <si>
    <t>Dr.B.N.V.Parthasarathi</t>
  </si>
  <si>
    <t>BN</t>
  </si>
  <si>
    <t>Working Days</t>
  </si>
  <si>
    <t>Faculty code</t>
  </si>
  <si>
    <t>GE SEM-2</t>
  </si>
  <si>
    <t>GE SEM-4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</si>
</sst>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5"/>
      <color rgb="FF000000"/>
      <name val="Calibri"/>
      <family val="2"/>
      <scheme val="minor"/>
    </font>
    <font>
      <b/>
      <sz val="13"/>
      <color rgb="FF44546A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262626"/>
      <name val="Calibri"/>
      <family val="2"/>
      <scheme val="minor"/>
    </font>
    <font>
      <sz val="8"/>
      <name val="Calibri"/>
      <family val="2"/>
      <scheme val="minor"/>
    </font>
    <font>
      <b/>
      <sz val="15"/>
      <color rgb="FF44546A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sz val="18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7" fillId="0" borderId="16" applyNumberFormat="0" applyFill="0" applyAlignment="0" applyProtection="0"/>
    <xf numFmtId="0" fontId="8" fillId="0" borderId="17" applyNumberFormat="0" applyFill="0" applyAlignment="0" applyProtection="0"/>
  </cellStyleXfs>
  <cellXfs count="132">
    <xf numFmtId="0" fontId="0" fillId="0" borderId="0" xfId="0"/>
    <xf numFmtId="0" fontId="2" fillId="3" borderId="1" xfId="0" applyFont="1" applyFill="1" applyBorder="1" applyAlignment="1">
      <alignment horizontal="center"/>
    </xf>
    <xf numFmtId="0" fontId="3" fillId="0" borderId="1" xfId="0" applyFont="1" applyBorder="1"/>
    <xf numFmtId="0" fontId="3" fillId="0" borderId="0" xfId="0" applyFont="1"/>
    <xf numFmtId="0" fontId="0" fillId="0" borderId="0" xfId="0" applyAlignment="1">
      <alignment horizontal="center" vertical="center"/>
    </xf>
    <xf numFmtId="0" fontId="3" fillId="5" borderId="1" xfId="0" applyFont="1" applyFill="1" applyBorder="1"/>
    <xf numFmtId="0" fontId="3" fillId="0" borderId="1" xfId="0" applyFont="1" applyBorder="1" applyAlignment="1">
      <alignment horizontal="center"/>
    </xf>
    <xf numFmtId="0" fontId="3" fillId="0" borderId="7" xfId="0" applyFont="1" applyBorder="1"/>
    <xf numFmtId="0" fontId="3" fillId="0" borderId="9" xfId="0" applyFont="1" applyBorder="1"/>
    <xf numFmtId="0" fontId="3" fillId="7" borderId="0" xfId="0" applyFont="1" applyFill="1"/>
    <xf numFmtId="0" fontId="6" fillId="7" borderId="6" xfId="0" applyFont="1" applyFill="1" applyBorder="1"/>
    <xf numFmtId="0" fontId="3" fillId="0" borderId="8" xfId="0" applyFont="1" applyBorder="1" applyAlignment="1">
      <alignment horizontal="center"/>
    </xf>
    <xf numFmtId="0" fontId="3" fillId="5" borderId="12" xfId="0" applyFont="1" applyFill="1" applyBorder="1"/>
    <xf numFmtId="0" fontId="4" fillId="0" borderId="1" xfId="0" applyFont="1" applyBorder="1"/>
    <xf numFmtId="0" fontId="3" fillId="0" borderId="0" xfId="0" applyFont="1" applyAlignment="1">
      <alignment vertical="center"/>
    </xf>
    <xf numFmtId="0" fontId="4" fillId="0" borderId="0" xfId="0" applyFont="1" applyAlignment="1">
      <alignment wrapText="1"/>
    </xf>
    <xf numFmtId="0" fontId="0" fillId="0" borderId="18" xfId="0" applyBorder="1"/>
    <xf numFmtId="0" fontId="0" fillId="0" borderId="1" xfId="0" applyBorder="1"/>
    <xf numFmtId="0" fontId="8" fillId="8" borderId="1" xfId="2" applyFill="1" applyBorder="1" applyAlignment="1">
      <alignment horizontal="center"/>
    </xf>
    <xf numFmtId="0" fontId="0" fillId="10" borderId="18" xfId="0" applyFill="1" applyBorder="1"/>
    <xf numFmtId="0" fontId="13" fillId="0" borderId="0" xfId="0" applyFont="1"/>
    <xf numFmtId="0" fontId="8" fillId="9" borderId="1" xfId="2" applyFill="1" applyBorder="1" applyAlignment="1"/>
    <xf numFmtId="0" fontId="10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14" borderId="0" xfId="0" applyFill="1"/>
    <xf numFmtId="0" fontId="14" fillId="14" borderId="0" xfId="0" applyFont="1" applyFill="1" applyAlignment="1">
      <alignment horizontal="center"/>
    </xf>
    <xf numFmtId="0" fontId="14" fillId="15" borderId="0" xfId="0" applyFont="1" applyFill="1"/>
    <xf numFmtId="0" fontId="14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0" xfId="0" applyFont="1"/>
    <xf numFmtId="0" fontId="9" fillId="13" borderId="1" xfId="0" applyFont="1" applyFill="1" applyBorder="1"/>
    <xf numFmtId="0" fontId="0" fillId="17" borderId="1" xfId="0" applyFill="1" applyBorder="1"/>
    <xf numFmtId="0" fontId="14" fillId="13" borderId="1" xfId="0" applyFont="1" applyFill="1" applyBorder="1"/>
    <xf numFmtId="0" fontId="14" fillId="18" borderId="1" xfId="0" applyFont="1" applyFill="1" applyBorder="1"/>
    <xf numFmtId="0" fontId="14" fillId="18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0" fillId="18" borderId="1" xfId="0" applyFill="1" applyBorder="1"/>
    <xf numFmtId="0" fontId="0" fillId="18" borderId="1" xfId="0" applyFill="1" applyBorder="1" applyAlignment="1">
      <alignment horizontal="left" vertical="center"/>
    </xf>
    <xf numFmtId="0" fontId="0" fillId="10" borderId="1" xfId="0" applyFill="1" applyBorder="1"/>
    <xf numFmtId="0" fontId="0" fillId="19" borderId="11" xfId="0" applyFill="1" applyBorder="1"/>
    <xf numFmtId="0" fontId="0" fillId="19" borderId="0" xfId="0" applyFill="1"/>
    <xf numFmtId="0" fontId="0" fillId="19" borderId="5" xfId="0" applyFill="1" applyBorder="1"/>
    <xf numFmtId="0" fontId="0" fillId="19" borderId="10" xfId="0" applyFill="1" applyBorder="1"/>
    <xf numFmtId="0" fontId="0" fillId="19" borderId="19" xfId="0" applyFill="1" applyBorder="1"/>
    <xf numFmtId="0" fontId="0" fillId="19" borderId="21" xfId="0" applyFill="1" applyBorder="1"/>
    <xf numFmtId="0" fontId="0" fillId="19" borderId="22" xfId="0" applyFill="1" applyBorder="1"/>
    <xf numFmtId="0" fontId="0" fillId="19" borderId="20" xfId="0" applyFill="1" applyBorder="1"/>
    <xf numFmtId="0" fontId="0" fillId="17" borderId="0" xfId="0" applyFill="1"/>
    <xf numFmtId="0" fontId="0" fillId="14" borderId="1" xfId="0" applyFill="1" applyBorder="1"/>
    <xf numFmtId="0" fontId="0" fillId="17" borderId="1" xfId="0" applyFill="1" applyBorder="1" applyAlignment="1">
      <alignment horizontal="left"/>
    </xf>
    <xf numFmtId="0" fontId="0" fillId="15" borderId="1" xfId="0" applyFill="1" applyBorder="1" applyAlignment="1">
      <alignment horizontal="left"/>
    </xf>
    <xf numFmtId="0" fontId="9" fillId="18" borderId="1" xfId="0" applyFont="1" applyFill="1" applyBorder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20" borderId="0" xfId="0" applyFill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4" fillId="21" borderId="0" xfId="0" applyFont="1" applyFill="1"/>
    <xf numFmtId="0" fontId="0" fillId="11" borderId="7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21" borderId="0" xfId="0" applyFont="1" applyFill="1" applyAlignment="1">
      <alignment horizontal="center" vertical="center"/>
    </xf>
    <xf numFmtId="0" fontId="14" fillId="21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21" borderId="0" xfId="0" applyFont="1" applyFill="1" applyAlignment="1">
      <alignment horizontal="center" vertical="center"/>
    </xf>
    <xf numFmtId="0" fontId="0" fillId="22" borderId="0" xfId="0" applyFill="1"/>
    <xf numFmtId="0" fontId="0" fillId="21" borderId="0" xfId="0" applyFill="1"/>
    <xf numFmtId="0" fontId="14" fillId="23" borderId="0" xfId="0" applyFont="1" applyFill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wrapText="1"/>
    </xf>
    <xf numFmtId="0" fontId="0" fillId="0" borderId="3" xfId="0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4" fillId="0" borderId="1" xfId="0" applyFont="1" applyBorder="1"/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2" fillId="11" borderId="0" xfId="1" applyFont="1" applyFill="1" applyBorder="1" applyAlignment="1">
      <alignment horizontal="center"/>
    </xf>
    <xf numFmtId="0" fontId="12" fillId="12" borderId="0" xfId="1" applyFont="1" applyFill="1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8" xfId="0" applyBorder="1"/>
    <xf numFmtId="0" fontId="0" fillId="0" borderId="23" xfId="0" applyBorder="1"/>
    <xf numFmtId="0" fontId="0" fillId="0" borderId="24" xfId="0" applyBorder="1"/>
    <xf numFmtId="0" fontId="8" fillId="9" borderId="2" xfId="2" applyFill="1" applyBorder="1" applyAlignment="1">
      <alignment horizontal="center"/>
    </xf>
    <xf numFmtId="0" fontId="8" fillId="9" borderId="3" xfId="2" applyFill="1" applyBorder="1" applyAlignment="1">
      <alignment horizontal="center"/>
    </xf>
    <xf numFmtId="0" fontId="8" fillId="9" borderId="4" xfId="2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14" fillId="13" borderId="0" xfId="0" applyFont="1" applyFill="1" applyAlignment="1">
      <alignment horizontal="center"/>
    </xf>
    <xf numFmtId="0" fontId="16" fillId="18" borderId="0" xfId="0" applyFont="1" applyFill="1" applyAlignment="1">
      <alignment horizontal="center" vertical="center"/>
    </xf>
  </cellXfs>
  <cellStyles count="3">
    <cellStyle name="Heading 1" xfId="1" builtinId="16"/>
    <cellStyle name="Heading 2" xfId="2" builtinId="17"/>
    <cellStyle name="Normal" xfId="0" builtinId="0"/>
  </cellStyles>
  <dxfs count="1">
    <dxf>
      <fill>
        <patternFill>
          <bgColor theme="6" tint="0.79998168889431442"/>
        </patternFill>
      </fill>
    </dxf>
  </dxfs>
  <tableStyles count="0" defaultTableStyle="TableStyleMedium2" defaultPivotStyle="PivotStyleLight16"/>
  <colors>
    <mruColors>
      <color rgb="FFFFFF99"/>
      <color rgb="FFFFCC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B1C25-4803-49C7-AF0A-8B9D6358560A}">
  <sheetPr codeName="Sheet1"/>
  <dimension ref="A1:J54"/>
  <sheetViews>
    <sheetView topLeftCell="A25" zoomScale="75" workbookViewId="0">
      <selection activeCell="D14" sqref="D14"/>
    </sheetView>
  </sheetViews>
  <sheetFormatPr defaultRowHeight="14.4" x14ac:dyDescent="0.3"/>
  <cols>
    <col min="1" max="1" width="12.88671875" bestFit="1" customWidth="1"/>
    <col min="2" max="2" width="10.5546875" bestFit="1" customWidth="1"/>
    <col min="3" max="3" width="10.33203125" bestFit="1" customWidth="1"/>
    <col min="4" max="4" width="14.33203125" bestFit="1" customWidth="1"/>
    <col min="5" max="5" width="12" bestFit="1" customWidth="1"/>
    <col min="6" max="6" width="11.6640625" bestFit="1" customWidth="1"/>
    <col min="7" max="7" width="11.88671875" bestFit="1" customWidth="1"/>
  </cols>
  <sheetData>
    <row r="1" spans="1:10" ht="19.8" x14ac:dyDescent="0.4">
      <c r="A1" s="99" t="s">
        <v>50</v>
      </c>
      <c r="B1" s="99"/>
      <c r="C1" s="99"/>
      <c r="D1" s="99"/>
      <c r="E1" s="99"/>
      <c r="F1" s="99"/>
      <c r="G1" s="99"/>
    </row>
    <row r="2" spans="1:10" ht="19.8" x14ac:dyDescent="0.4">
      <c r="A2" s="100" t="s">
        <v>1</v>
      </c>
      <c r="B2" s="100"/>
      <c r="C2" s="100"/>
      <c r="D2" s="100"/>
      <c r="E2" s="100"/>
      <c r="F2" s="100"/>
      <c r="G2" s="100"/>
    </row>
    <row r="3" spans="1:10" ht="17.399999999999999" x14ac:dyDescent="0.3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10" x14ac:dyDescent="0.3">
      <c r="A4" s="2" t="s">
        <v>9</v>
      </c>
      <c r="B4" s="2" t="s">
        <v>51</v>
      </c>
      <c r="C4" s="2" t="s">
        <v>52</v>
      </c>
      <c r="D4" s="2" t="s">
        <v>52</v>
      </c>
      <c r="E4" s="2" t="s">
        <v>51</v>
      </c>
      <c r="F4" s="2" t="s">
        <v>53</v>
      </c>
      <c r="G4" s="2" t="s">
        <v>54</v>
      </c>
    </row>
    <row r="5" spans="1:10" x14ac:dyDescent="0.3">
      <c r="A5" s="2" t="s">
        <v>13</v>
      </c>
      <c r="B5" s="2" t="s">
        <v>51</v>
      </c>
      <c r="C5" s="2" t="s">
        <v>52</v>
      </c>
      <c r="D5" s="2" t="s">
        <v>52</v>
      </c>
      <c r="E5" s="2" t="s">
        <v>51</v>
      </c>
      <c r="F5" s="2" t="s">
        <v>53</v>
      </c>
      <c r="G5" s="2" t="s">
        <v>54</v>
      </c>
      <c r="J5" s="3"/>
    </row>
    <row r="6" spans="1:10" x14ac:dyDescent="0.3">
      <c r="A6" s="2" t="s">
        <v>15</v>
      </c>
      <c r="B6" s="2"/>
      <c r="C6" s="2" t="s">
        <v>56</v>
      </c>
      <c r="D6" s="2" t="s">
        <v>57</v>
      </c>
      <c r="E6" s="2" t="s">
        <v>57</v>
      </c>
      <c r="F6" s="2" t="s">
        <v>56</v>
      </c>
      <c r="G6" s="2" t="s">
        <v>55</v>
      </c>
    </row>
    <row r="7" spans="1:10" x14ac:dyDescent="0.3">
      <c r="A7" s="2" t="s">
        <v>19</v>
      </c>
      <c r="B7" s="2"/>
      <c r="C7" s="2" t="s">
        <v>56</v>
      </c>
      <c r="D7" s="2" t="s">
        <v>57</v>
      </c>
      <c r="E7" s="2" t="s">
        <v>57</v>
      </c>
      <c r="F7" s="2" t="s">
        <v>56</v>
      </c>
      <c r="G7" s="2" t="s">
        <v>55</v>
      </c>
    </row>
    <row r="8" spans="1:10" ht="17.399999999999999" x14ac:dyDescent="0.35">
      <c r="A8" s="101" t="s">
        <v>20</v>
      </c>
      <c r="B8" s="102"/>
      <c r="C8" s="102"/>
      <c r="D8" s="102"/>
      <c r="E8" s="102"/>
      <c r="F8" s="102"/>
      <c r="G8" s="103"/>
    </row>
    <row r="9" spans="1:10" x14ac:dyDescent="0.3">
      <c r="A9" s="2" t="s">
        <v>22</v>
      </c>
      <c r="B9" s="2" t="s">
        <v>58</v>
      </c>
      <c r="C9" s="2" t="s">
        <v>58</v>
      </c>
      <c r="D9" s="2" t="s">
        <v>63</v>
      </c>
      <c r="E9" s="2" t="s">
        <v>53</v>
      </c>
      <c r="F9" s="2" t="s">
        <v>54</v>
      </c>
      <c r="G9" s="2" t="s">
        <v>59</v>
      </c>
    </row>
    <row r="10" spans="1:10" x14ac:dyDescent="0.3">
      <c r="A10" s="2" t="s">
        <v>25</v>
      </c>
      <c r="B10" s="2" t="s">
        <v>58</v>
      </c>
      <c r="C10" s="2" t="s">
        <v>58</v>
      </c>
      <c r="D10" s="2" t="s">
        <v>63</v>
      </c>
      <c r="E10" s="2" t="s">
        <v>53</v>
      </c>
      <c r="F10" s="2" t="s">
        <v>54</v>
      </c>
      <c r="G10" s="2" t="s">
        <v>59</v>
      </c>
    </row>
    <row r="11" spans="1:10" x14ac:dyDescent="0.3">
      <c r="A11" s="2" t="s">
        <v>26</v>
      </c>
      <c r="B11" s="2"/>
      <c r="C11" s="2"/>
      <c r="D11" s="2"/>
      <c r="E11" s="2"/>
      <c r="F11" s="2"/>
      <c r="G11" s="2" t="s">
        <v>59</v>
      </c>
    </row>
    <row r="12" spans="1:10" x14ac:dyDescent="0.3">
      <c r="A12" s="3"/>
      <c r="B12" s="3"/>
      <c r="C12" s="3"/>
      <c r="D12" s="3"/>
      <c r="E12" s="3"/>
      <c r="F12" s="3"/>
      <c r="G12" s="3"/>
    </row>
    <row r="13" spans="1:10" ht="19.8" x14ac:dyDescent="0.4">
      <c r="A13" s="100" t="s">
        <v>60</v>
      </c>
      <c r="B13" s="100"/>
      <c r="C13" s="100"/>
      <c r="D13" s="100"/>
      <c r="E13" s="100"/>
      <c r="F13" s="100"/>
      <c r="G13" s="100"/>
    </row>
    <row r="14" spans="1:10" ht="17.399999999999999" x14ac:dyDescent="0.35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7</v>
      </c>
      <c r="G14" s="1" t="s">
        <v>8</v>
      </c>
    </row>
    <row r="15" spans="1:10" x14ac:dyDescent="0.3">
      <c r="A15" s="2" t="s">
        <v>9</v>
      </c>
      <c r="B15" s="2"/>
      <c r="C15" s="2"/>
      <c r="D15" s="2" t="s">
        <v>61</v>
      </c>
      <c r="E15" s="2"/>
      <c r="F15" s="2"/>
      <c r="G15" s="2"/>
    </row>
    <row r="16" spans="1:10" x14ac:dyDescent="0.3">
      <c r="A16" s="2" t="s">
        <v>13</v>
      </c>
      <c r="B16" s="2"/>
      <c r="C16" s="2"/>
      <c r="D16" s="2" t="s">
        <v>61</v>
      </c>
      <c r="E16" s="2"/>
      <c r="F16" s="2"/>
      <c r="G16" s="2"/>
    </row>
    <row r="17" spans="1:7" x14ac:dyDescent="0.3">
      <c r="A17" s="2" t="s">
        <v>15</v>
      </c>
      <c r="B17" s="2"/>
      <c r="C17" s="2"/>
      <c r="D17" s="2" t="s">
        <v>61</v>
      </c>
      <c r="E17" s="2"/>
      <c r="F17" s="2"/>
      <c r="G17" s="2"/>
    </row>
    <row r="18" spans="1:7" x14ac:dyDescent="0.3">
      <c r="A18" s="2" t="s">
        <v>19</v>
      </c>
      <c r="B18" s="2"/>
      <c r="C18" s="2"/>
      <c r="D18" s="2"/>
      <c r="E18" s="2"/>
      <c r="F18" s="2"/>
      <c r="G18" s="2"/>
    </row>
    <row r="19" spans="1:7" ht="17.399999999999999" x14ac:dyDescent="0.35">
      <c r="A19" s="101" t="s">
        <v>20</v>
      </c>
      <c r="B19" s="102"/>
      <c r="C19" s="102"/>
      <c r="D19" s="102"/>
      <c r="E19" s="102"/>
      <c r="F19" s="102"/>
      <c r="G19" s="103"/>
    </row>
    <row r="20" spans="1:7" x14ac:dyDescent="0.3">
      <c r="A20" s="2" t="s">
        <v>22</v>
      </c>
      <c r="B20" s="2"/>
      <c r="C20" s="2"/>
      <c r="D20" s="2"/>
      <c r="E20" s="2"/>
      <c r="F20" s="2" t="s">
        <v>62</v>
      </c>
      <c r="G20" s="2"/>
    </row>
    <row r="21" spans="1:7" x14ac:dyDescent="0.3">
      <c r="A21" s="2" t="s">
        <v>25</v>
      </c>
      <c r="B21" s="2"/>
      <c r="C21" s="2"/>
      <c r="D21" s="2"/>
      <c r="E21" s="2"/>
      <c r="F21" s="2" t="s">
        <v>62</v>
      </c>
      <c r="G21" s="2"/>
    </row>
    <row r="22" spans="1:7" x14ac:dyDescent="0.3">
      <c r="A22" s="2" t="s">
        <v>26</v>
      </c>
      <c r="B22" s="2"/>
      <c r="C22" s="2"/>
      <c r="D22" s="2"/>
      <c r="E22" s="2"/>
      <c r="F22" s="2" t="s">
        <v>62</v>
      </c>
      <c r="G22" s="2"/>
    </row>
    <row r="23" spans="1:7" x14ac:dyDescent="0.3">
      <c r="A23" s="3"/>
      <c r="B23" s="3"/>
      <c r="C23" s="3"/>
      <c r="D23" s="3"/>
      <c r="E23" s="3"/>
      <c r="F23" s="3"/>
      <c r="G23" s="3"/>
    </row>
    <row r="24" spans="1:7" x14ac:dyDescent="0.3">
      <c r="A24" s="12" t="s">
        <v>30</v>
      </c>
      <c r="B24" s="95" t="s">
        <v>31</v>
      </c>
      <c r="C24" s="96"/>
      <c r="D24" s="96"/>
      <c r="E24" s="97"/>
      <c r="F24" s="12" t="s">
        <v>32</v>
      </c>
      <c r="G24" s="12"/>
    </row>
    <row r="25" spans="1:7" ht="27.6" customHeight="1" x14ac:dyDescent="0.3">
      <c r="A25" s="13" t="s">
        <v>63</v>
      </c>
      <c r="B25" s="93" t="s">
        <v>64</v>
      </c>
      <c r="C25" s="93"/>
      <c r="D25" s="93"/>
      <c r="E25" s="93"/>
      <c r="F25" s="93" t="s">
        <v>65</v>
      </c>
      <c r="G25" s="93"/>
    </row>
    <row r="26" spans="1:7" x14ac:dyDescent="0.3">
      <c r="A26" s="13" t="s">
        <v>66</v>
      </c>
      <c r="B26" s="98" t="s">
        <v>35</v>
      </c>
      <c r="C26" s="98"/>
      <c r="D26" s="98"/>
      <c r="E26" s="98"/>
      <c r="F26" s="93" t="s">
        <v>67</v>
      </c>
      <c r="G26" s="93"/>
    </row>
    <row r="27" spans="1:7" ht="27.6" customHeight="1" x14ac:dyDescent="0.3">
      <c r="A27" s="13" t="s">
        <v>68</v>
      </c>
      <c r="B27" s="98" t="s">
        <v>69</v>
      </c>
      <c r="C27" s="98"/>
      <c r="D27" s="98"/>
      <c r="E27" s="98"/>
      <c r="F27" s="93" t="s">
        <v>70</v>
      </c>
      <c r="G27" s="93"/>
    </row>
    <row r="28" spans="1:7" x14ac:dyDescent="0.3">
      <c r="A28" s="13" t="s">
        <v>71</v>
      </c>
      <c r="B28" s="98" t="s">
        <v>72</v>
      </c>
      <c r="C28" s="98"/>
      <c r="D28" s="98"/>
      <c r="E28" s="98"/>
      <c r="F28" s="93" t="s">
        <v>73</v>
      </c>
      <c r="G28" s="93"/>
    </row>
    <row r="29" spans="1:7" ht="27.6" customHeight="1" x14ac:dyDescent="0.3">
      <c r="A29" s="13" t="s">
        <v>74</v>
      </c>
      <c r="B29" s="93" t="s">
        <v>75</v>
      </c>
      <c r="C29" s="93"/>
      <c r="D29" s="93"/>
      <c r="E29" s="93"/>
      <c r="F29" s="93" t="s">
        <v>76</v>
      </c>
      <c r="G29" s="93"/>
    </row>
    <row r="30" spans="1:7" x14ac:dyDescent="0.3">
      <c r="A30" s="13" t="s">
        <v>77</v>
      </c>
      <c r="B30" s="98" t="s">
        <v>78</v>
      </c>
      <c r="C30" s="98"/>
      <c r="D30" s="98"/>
      <c r="E30" s="98"/>
      <c r="F30" s="93" t="s">
        <v>44</v>
      </c>
      <c r="G30" s="93"/>
    </row>
    <row r="31" spans="1:7" x14ac:dyDescent="0.3">
      <c r="A31" s="13" t="s">
        <v>79</v>
      </c>
      <c r="B31" s="98" t="s">
        <v>80</v>
      </c>
      <c r="C31" s="98"/>
      <c r="D31" s="98"/>
      <c r="E31" s="98"/>
      <c r="F31" s="93" t="s">
        <v>81</v>
      </c>
      <c r="G31" s="93"/>
    </row>
    <row r="32" spans="1:7" x14ac:dyDescent="0.3">
      <c r="A32" s="13" t="s">
        <v>82</v>
      </c>
      <c r="B32" s="98" t="s">
        <v>83</v>
      </c>
      <c r="C32" s="98"/>
      <c r="D32" s="98"/>
      <c r="E32" s="98"/>
      <c r="F32" s="93" t="s">
        <v>84</v>
      </c>
      <c r="G32" s="93"/>
    </row>
    <row r="33" spans="1:7" ht="27.6" customHeight="1" x14ac:dyDescent="0.3">
      <c r="A33" s="13" t="s">
        <v>85</v>
      </c>
      <c r="B33" s="98" t="s">
        <v>86</v>
      </c>
      <c r="C33" s="98"/>
      <c r="D33" s="98"/>
      <c r="E33" s="98"/>
      <c r="F33" s="93" t="s">
        <v>87</v>
      </c>
      <c r="G33" s="93"/>
    </row>
    <row r="34" spans="1:7" x14ac:dyDescent="0.3">
      <c r="A34" s="13" t="s">
        <v>88</v>
      </c>
      <c r="B34" s="98" t="s">
        <v>89</v>
      </c>
      <c r="C34" s="98"/>
      <c r="D34" s="98"/>
      <c r="E34" s="98"/>
      <c r="F34" s="93" t="s">
        <v>44</v>
      </c>
      <c r="G34" s="93"/>
    </row>
    <row r="35" spans="1:7" ht="27.6" customHeight="1" x14ac:dyDescent="0.3">
      <c r="A35" s="13" t="s">
        <v>90</v>
      </c>
      <c r="B35" s="98" t="s">
        <v>91</v>
      </c>
      <c r="C35" s="98"/>
      <c r="D35" s="98"/>
      <c r="E35" s="98"/>
      <c r="F35" s="93" t="s">
        <v>70</v>
      </c>
      <c r="G35" s="93"/>
    </row>
    <row r="36" spans="1:7" ht="27.6" customHeight="1" x14ac:dyDescent="0.3">
      <c r="A36" s="13" t="s">
        <v>92</v>
      </c>
      <c r="B36" s="98" t="s">
        <v>93</v>
      </c>
      <c r="C36" s="98"/>
      <c r="D36" s="98"/>
      <c r="E36" s="98"/>
      <c r="F36" s="93" t="s">
        <v>70</v>
      </c>
      <c r="G36" s="93"/>
    </row>
    <row r="37" spans="1:7" x14ac:dyDescent="0.3">
      <c r="A37" s="13" t="s">
        <v>94</v>
      </c>
      <c r="B37" s="91" t="s">
        <v>95</v>
      </c>
      <c r="C37" s="94"/>
      <c r="D37" s="94"/>
      <c r="E37" s="92"/>
      <c r="F37" s="91" t="s">
        <v>95</v>
      </c>
      <c r="G37" s="92"/>
    </row>
    <row r="38" spans="1:7" x14ac:dyDescent="0.3">
      <c r="A38" s="13" t="s">
        <v>96</v>
      </c>
      <c r="B38" s="91" t="s">
        <v>95</v>
      </c>
      <c r="C38" s="94"/>
      <c r="D38" s="94"/>
      <c r="E38" s="92"/>
      <c r="F38" s="91" t="s">
        <v>95</v>
      </c>
      <c r="G38" s="92"/>
    </row>
    <row r="41" spans="1:7" x14ac:dyDescent="0.3">
      <c r="A41" s="13" t="s">
        <v>63</v>
      </c>
      <c r="B41" s="93" t="s">
        <v>65</v>
      </c>
      <c r="C41" s="93"/>
    </row>
    <row r="42" spans="1:7" x14ac:dyDescent="0.3">
      <c r="A42" s="13" t="s">
        <v>66</v>
      </c>
      <c r="B42" s="93" t="s">
        <v>67</v>
      </c>
      <c r="C42" s="93"/>
    </row>
    <row r="43" spans="1:7" x14ac:dyDescent="0.3">
      <c r="A43" s="13" t="s">
        <v>68</v>
      </c>
      <c r="B43" s="93" t="s">
        <v>70</v>
      </c>
      <c r="C43" s="93"/>
    </row>
    <row r="44" spans="1:7" x14ac:dyDescent="0.3">
      <c r="A44" s="13" t="s">
        <v>71</v>
      </c>
      <c r="B44" s="93" t="s">
        <v>73</v>
      </c>
      <c r="C44" s="93"/>
    </row>
    <row r="45" spans="1:7" x14ac:dyDescent="0.3">
      <c r="A45" s="13" t="s">
        <v>74</v>
      </c>
      <c r="B45" s="93" t="s">
        <v>76</v>
      </c>
      <c r="C45" s="93"/>
    </row>
    <row r="46" spans="1:7" x14ac:dyDescent="0.3">
      <c r="A46" s="13" t="s">
        <v>77</v>
      </c>
      <c r="B46" s="93" t="s">
        <v>44</v>
      </c>
      <c r="C46" s="93"/>
    </row>
    <row r="47" spans="1:7" x14ac:dyDescent="0.3">
      <c r="A47" s="13" t="s">
        <v>79</v>
      </c>
      <c r="B47" s="93" t="s">
        <v>44</v>
      </c>
      <c r="C47" s="93"/>
    </row>
    <row r="48" spans="1:7" x14ac:dyDescent="0.3">
      <c r="A48" s="13" t="s">
        <v>82</v>
      </c>
      <c r="B48" s="93" t="s">
        <v>84</v>
      </c>
      <c r="C48" s="93"/>
    </row>
    <row r="49" spans="1:3" x14ac:dyDescent="0.3">
      <c r="A49" s="13" t="s">
        <v>85</v>
      </c>
      <c r="B49" s="93" t="s">
        <v>87</v>
      </c>
      <c r="C49" s="93"/>
    </row>
    <row r="50" spans="1:3" x14ac:dyDescent="0.3">
      <c r="A50" s="13" t="s">
        <v>88</v>
      </c>
      <c r="B50" s="93" t="s">
        <v>44</v>
      </c>
      <c r="C50" s="93"/>
    </row>
    <row r="51" spans="1:3" x14ac:dyDescent="0.3">
      <c r="A51" s="13" t="s">
        <v>90</v>
      </c>
      <c r="B51" s="93" t="s">
        <v>70</v>
      </c>
      <c r="C51" s="93"/>
    </row>
    <row r="52" spans="1:3" x14ac:dyDescent="0.3">
      <c r="A52" s="13" t="s">
        <v>92</v>
      </c>
      <c r="B52" s="93" t="s">
        <v>70</v>
      </c>
      <c r="C52" s="93"/>
    </row>
    <row r="53" spans="1:3" x14ac:dyDescent="0.3">
      <c r="A53" s="13" t="s">
        <v>94</v>
      </c>
      <c r="B53" s="91" t="s">
        <v>95</v>
      </c>
      <c r="C53" s="92"/>
    </row>
    <row r="54" spans="1:3" x14ac:dyDescent="0.3">
      <c r="A54" s="13" t="s">
        <v>96</v>
      </c>
      <c r="B54" s="91" t="s">
        <v>95</v>
      </c>
      <c r="C54" s="92"/>
    </row>
  </sheetData>
  <mergeCells count="48">
    <mergeCell ref="F31:G31"/>
    <mergeCell ref="B32:E32"/>
    <mergeCell ref="F32:G32"/>
    <mergeCell ref="B36:E36"/>
    <mergeCell ref="F36:G36"/>
    <mergeCell ref="B33:E33"/>
    <mergeCell ref="F33:G33"/>
    <mergeCell ref="B34:E34"/>
    <mergeCell ref="F34:G34"/>
    <mergeCell ref="B35:E35"/>
    <mergeCell ref="F35:G35"/>
    <mergeCell ref="A1:G1"/>
    <mergeCell ref="A2:G2"/>
    <mergeCell ref="A8:G8"/>
    <mergeCell ref="A13:G13"/>
    <mergeCell ref="A19:G19"/>
    <mergeCell ref="F37:G37"/>
    <mergeCell ref="F38:G38"/>
    <mergeCell ref="B24:E24"/>
    <mergeCell ref="B25:E25"/>
    <mergeCell ref="F25:G25"/>
    <mergeCell ref="B26:E26"/>
    <mergeCell ref="F26:G26"/>
    <mergeCell ref="B27:E27"/>
    <mergeCell ref="F27:G27"/>
    <mergeCell ref="B28:E28"/>
    <mergeCell ref="F28:G28"/>
    <mergeCell ref="B29:E29"/>
    <mergeCell ref="F29:G29"/>
    <mergeCell ref="B30:E30"/>
    <mergeCell ref="F30:G30"/>
    <mergeCell ref="B31:E31"/>
    <mergeCell ref="B41:C41"/>
    <mergeCell ref="B42:C42"/>
    <mergeCell ref="B43:C43"/>
    <mergeCell ref="B37:E37"/>
    <mergeCell ref="B38:E38"/>
    <mergeCell ref="B47:C47"/>
    <mergeCell ref="B48:C48"/>
    <mergeCell ref="B49:C49"/>
    <mergeCell ref="B44:C44"/>
    <mergeCell ref="B45:C45"/>
    <mergeCell ref="B46:C46"/>
    <mergeCell ref="B53:C53"/>
    <mergeCell ref="B54:C54"/>
    <mergeCell ref="B50:C50"/>
    <mergeCell ref="B51:C51"/>
    <mergeCell ref="B52:C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9ACB9-21B8-4DA8-B924-4943945FB224}">
  <dimension ref="A1:S29"/>
  <sheetViews>
    <sheetView workbookViewId="0">
      <selection activeCell="B15" sqref="B15:E15"/>
    </sheetView>
  </sheetViews>
  <sheetFormatPr defaultRowHeight="14.4" x14ac:dyDescent="0.3"/>
  <cols>
    <col min="1" max="1" width="12.88671875" bestFit="1" customWidth="1"/>
    <col min="2" max="2" width="10.5546875" bestFit="1" customWidth="1"/>
    <col min="3" max="3" width="10.33203125" bestFit="1" customWidth="1"/>
    <col min="4" max="4" width="14.33203125" bestFit="1" customWidth="1"/>
    <col min="5" max="5" width="12" bestFit="1" customWidth="1"/>
    <col min="6" max="6" width="8.33203125" bestFit="1" customWidth="1"/>
    <col min="7" max="7" width="11.88671875" bestFit="1" customWidth="1"/>
    <col min="13" max="13" width="12.88671875" bestFit="1" customWidth="1"/>
    <col min="14" max="14" width="11.33203125" customWidth="1"/>
    <col min="15" max="15" width="10" customWidth="1"/>
    <col min="16" max="16" width="14.33203125" bestFit="1" customWidth="1"/>
    <col min="17" max="17" width="12" bestFit="1" customWidth="1"/>
    <col min="18" max="18" width="11.6640625" bestFit="1" customWidth="1"/>
    <col min="19" max="19" width="11.88671875" bestFit="1" customWidth="1"/>
  </cols>
  <sheetData>
    <row r="1" spans="1:19" ht="19.8" x14ac:dyDescent="0.4">
      <c r="A1" s="99" t="s">
        <v>97</v>
      </c>
      <c r="B1" s="99"/>
      <c r="C1" s="99"/>
      <c r="D1" s="99"/>
      <c r="E1" s="99"/>
      <c r="F1" s="99"/>
      <c r="G1" s="99"/>
      <c r="M1" s="99" t="s">
        <v>97</v>
      </c>
      <c r="N1" s="99"/>
      <c r="O1" s="99"/>
      <c r="P1" s="99"/>
      <c r="Q1" s="99"/>
      <c r="R1" s="99"/>
      <c r="S1" s="99"/>
    </row>
    <row r="2" spans="1:19" ht="20.399999999999999" thickBot="1" x14ac:dyDescent="0.45">
      <c r="A2" s="104" t="s">
        <v>98</v>
      </c>
      <c r="B2" s="104"/>
      <c r="C2" s="104"/>
      <c r="D2" s="104"/>
      <c r="E2" s="104"/>
      <c r="F2" s="104"/>
      <c r="G2" s="104"/>
      <c r="M2" s="9"/>
      <c r="N2" s="10" t="s">
        <v>99</v>
      </c>
      <c r="O2" s="10"/>
      <c r="P2" s="10"/>
      <c r="Q2" s="10"/>
      <c r="R2" s="10"/>
      <c r="S2" s="10"/>
    </row>
    <row r="3" spans="1:19" ht="18" thickTop="1" x14ac:dyDescent="0.3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M3" s="1" t="s">
        <v>2</v>
      </c>
      <c r="N3" s="1" t="s">
        <v>3</v>
      </c>
      <c r="O3" s="1" t="s">
        <v>4</v>
      </c>
      <c r="P3" s="1" t="s">
        <v>5</v>
      </c>
      <c r="Q3" s="1" t="s">
        <v>6</v>
      </c>
      <c r="R3" s="1" t="s">
        <v>7</v>
      </c>
      <c r="S3" s="1" t="s">
        <v>8</v>
      </c>
    </row>
    <row r="4" spans="1:19" x14ac:dyDescent="0.3">
      <c r="A4" s="2" t="s">
        <v>9</v>
      </c>
      <c r="B4" s="2" t="s">
        <v>100</v>
      </c>
      <c r="C4" s="2"/>
      <c r="D4" s="2"/>
      <c r="E4" s="2" t="s">
        <v>100</v>
      </c>
      <c r="F4" s="2"/>
      <c r="G4" s="2"/>
      <c r="M4" s="6" t="s">
        <v>9</v>
      </c>
      <c r="N4" s="6"/>
      <c r="O4" s="6"/>
      <c r="P4" s="6" t="s">
        <v>101</v>
      </c>
      <c r="Q4" s="6" t="s">
        <v>102</v>
      </c>
      <c r="R4" s="6" t="s">
        <v>103</v>
      </c>
      <c r="S4" s="6"/>
    </row>
    <row r="5" spans="1:19" x14ac:dyDescent="0.3">
      <c r="A5" s="2" t="s">
        <v>13</v>
      </c>
      <c r="B5" s="2" t="s">
        <v>100</v>
      </c>
      <c r="C5" s="2"/>
      <c r="D5" s="2" t="s">
        <v>104</v>
      </c>
      <c r="E5" s="2" t="s">
        <v>100</v>
      </c>
      <c r="F5" s="2" t="s">
        <v>104</v>
      </c>
      <c r="G5" s="2" t="s">
        <v>116</v>
      </c>
      <c r="M5" s="6" t="s">
        <v>13</v>
      </c>
      <c r="N5" s="6" t="s">
        <v>105</v>
      </c>
      <c r="O5" s="6" t="s">
        <v>106</v>
      </c>
      <c r="P5" s="6" t="s">
        <v>101</v>
      </c>
      <c r="Q5" s="6" t="s">
        <v>102</v>
      </c>
      <c r="R5" s="6" t="s">
        <v>103</v>
      </c>
      <c r="S5" s="6"/>
    </row>
    <row r="6" spans="1:19" x14ac:dyDescent="0.3">
      <c r="A6" s="2" t="s">
        <v>15</v>
      </c>
      <c r="B6" s="2"/>
      <c r="C6" s="2" t="s">
        <v>107</v>
      </c>
      <c r="D6" s="2" t="s">
        <v>104</v>
      </c>
      <c r="E6" s="2" t="s">
        <v>107</v>
      </c>
      <c r="F6" s="2" t="s">
        <v>104</v>
      </c>
      <c r="G6" s="2" t="s">
        <v>116</v>
      </c>
      <c r="M6" s="6" t="s">
        <v>15</v>
      </c>
      <c r="N6" s="6" t="s">
        <v>105</v>
      </c>
      <c r="O6" s="6" t="s">
        <v>106</v>
      </c>
      <c r="P6" s="6" t="s">
        <v>101</v>
      </c>
      <c r="Q6" s="6" t="s">
        <v>108</v>
      </c>
      <c r="R6" s="6" t="s">
        <v>103</v>
      </c>
      <c r="S6" s="6"/>
    </row>
    <row r="7" spans="1:19" x14ac:dyDescent="0.3">
      <c r="A7" s="2" t="s">
        <v>19</v>
      </c>
      <c r="B7" s="2"/>
      <c r="C7" s="2" t="s">
        <v>107</v>
      </c>
      <c r="D7" s="2"/>
      <c r="E7" s="2" t="s">
        <v>107</v>
      </c>
      <c r="F7" s="2"/>
      <c r="G7" s="2" t="s">
        <v>116</v>
      </c>
      <c r="M7" s="6" t="s">
        <v>19</v>
      </c>
      <c r="N7" s="6" t="s">
        <v>105</v>
      </c>
      <c r="O7" s="6" t="s">
        <v>106</v>
      </c>
      <c r="P7" s="6"/>
      <c r="Q7" s="6" t="s">
        <v>108</v>
      </c>
      <c r="R7" s="6"/>
      <c r="S7" s="6"/>
    </row>
    <row r="8" spans="1:19" ht="17.399999999999999" x14ac:dyDescent="0.35">
      <c r="A8" s="101" t="s">
        <v>20</v>
      </c>
      <c r="B8" s="102"/>
      <c r="C8" s="102"/>
      <c r="D8" s="102"/>
      <c r="E8" s="102"/>
      <c r="F8" s="102"/>
      <c r="G8" s="102"/>
      <c r="M8" s="101" t="s">
        <v>20</v>
      </c>
      <c r="N8" s="102"/>
      <c r="O8" s="102"/>
      <c r="P8" s="102"/>
      <c r="Q8" s="102"/>
      <c r="R8" s="102"/>
      <c r="S8" s="102"/>
    </row>
    <row r="9" spans="1:19" ht="14.4" customHeight="1" x14ac:dyDescent="0.3">
      <c r="A9" s="2" t="s">
        <v>22</v>
      </c>
      <c r="B9" s="2" t="s">
        <v>109</v>
      </c>
      <c r="C9" s="2"/>
      <c r="D9" s="7" t="s">
        <v>128</v>
      </c>
      <c r="E9" s="2" t="s">
        <v>129</v>
      </c>
      <c r="F9" s="2" t="s">
        <v>129</v>
      </c>
      <c r="G9" s="2"/>
      <c r="M9" s="6" t="s">
        <v>22</v>
      </c>
      <c r="N9" s="6" t="s">
        <v>110</v>
      </c>
      <c r="O9" s="6" t="s">
        <v>111</v>
      </c>
      <c r="P9" s="6" t="s">
        <v>112</v>
      </c>
      <c r="Q9" s="6" t="s">
        <v>102</v>
      </c>
      <c r="R9" s="6" t="s">
        <v>113</v>
      </c>
      <c r="S9" s="6"/>
    </row>
    <row r="10" spans="1:19" x14ac:dyDescent="0.3">
      <c r="A10" s="2" t="s">
        <v>25</v>
      </c>
      <c r="B10" s="2" t="s">
        <v>109</v>
      </c>
      <c r="C10" s="2"/>
      <c r="D10" s="8" t="s">
        <v>128</v>
      </c>
      <c r="E10" s="2" t="s">
        <v>129</v>
      </c>
      <c r="F10" s="2" t="s">
        <v>129</v>
      </c>
      <c r="G10" s="2"/>
      <c r="M10" s="6" t="s">
        <v>25</v>
      </c>
      <c r="N10" s="6" t="s">
        <v>110</v>
      </c>
      <c r="O10" s="6" t="s">
        <v>111</v>
      </c>
      <c r="P10" s="6" t="s">
        <v>112</v>
      </c>
      <c r="Q10" s="6" t="s">
        <v>108</v>
      </c>
      <c r="R10" s="6" t="s">
        <v>113</v>
      </c>
      <c r="S10" s="6"/>
    </row>
    <row r="11" spans="1:19" x14ac:dyDescent="0.3">
      <c r="A11" s="2" t="s">
        <v>26</v>
      </c>
      <c r="B11" s="2"/>
      <c r="C11" s="2"/>
      <c r="D11" s="8" t="s">
        <v>128</v>
      </c>
      <c r="E11" s="2"/>
      <c r="F11" s="2"/>
      <c r="G11" s="2"/>
      <c r="M11" s="6" t="s">
        <v>26</v>
      </c>
      <c r="N11" s="6" t="s">
        <v>110</v>
      </c>
      <c r="O11" s="6" t="s">
        <v>111</v>
      </c>
      <c r="P11" s="6" t="s">
        <v>112</v>
      </c>
      <c r="Q11" s="6"/>
      <c r="R11" s="6" t="s">
        <v>113</v>
      </c>
      <c r="S11" s="6"/>
    </row>
    <row r="12" spans="1:19" x14ac:dyDescent="0.3">
      <c r="A12" s="2" t="s">
        <v>29</v>
      </c>
      <c r="B12" s="2"/>
      <c r="C12" s="2"/>
      <c r="D12" s="8"/>
      <c r="E12" s="2"/>
      <c r="F12" s="2"/>
      <c r="G12" s="2"/>
      <c r="M12" s="3"/>
      <c r="N12" s="3"/>
      <c r="O12" s="3"/>
      <c r="P12" s="3"/>
      <c r="Q12" s="3"/>
      <c r="R12" s="3"/>
      <c r="S12" s="3"/>
    </row>
    <row r="13" spans="1:19" x14ac:dyDescent="0.3">
      <c r="A13" s="3"/>
      <c r="B13" s="3"/>
      <c r="C13" s="3"/>
      <c r="D13" s="3"/>
      <c r="E13" s="3"/>
      <c r="F13" s="3"/>
      <c r="G13" s="3"/>
      <c r="M13" s="5" t="s">
        <v>30</v>
      </c>
      <c r="N13" s="108" t="s">
        <v>31</v>
      </c>
      <c r="O13" s="109"/>
      <c r="P13" s="109"/>
      <c r="Q13" s="110"/>
      <c r="R13" s="5" t="s">
        <v>32</v>
      </c>
      <c r="S13" s="5"/>
    </row>
    <row r="14" spans="1:19" x14ac:dyDescent="0.3">
      <c r="A14" s="5" t="s">
        <v>30</v>
      </c>
      <c r="B14" s="105" t="s">
        <v>31</v>
      </c>
      <c r="C14" s="105"/>
      <c r="D14" s="105"/>
      <c r="E14" s="105"/>
      <c r="F14" s="105" t="s">
        <v>32</v>
      </c>
      <c r="G14" s="105"/>
      <c r="M14" s="6" t="s">
        <v>110</v>
      </c>
      <c r="N14" s="111" t="s">
        <v>114</v>
      </c>
      <c r="O14" s="112"/>
      <c r="P14" s="112"/>
      <c r="Q14" s="113"/>
      <c r="R14" s="114" t="s">
        <v>115</v>
      </c>
      <c r="S14" s="115"/>
    </row>
    <row r="15" spans="1:19" x14ac:dyDescent="0.3">
      <c r="A15" s="6" t="s">
        <v>116</v>
      </c>
      <c r="B15" s="106" t="s">
        <v>117</v>
      </c>
      <c r="C15" s="106"/>
      <c r="D15" s="106"/>
      <c r="E15" s="106"/>
      <c r="F15" s="106" t="s">
        <v>156</v>
      </c>
      <c r="G15" s="106"/>
      <c r="M15" s="6" t="s">
        <v>105</v>
      </c>
      <c r="N15" s="111" t="s">
        <v>118</v>
      </c>
      <c r="O15" s="112"/>
      <c r="P15" s="112"/>
      <c r="Q15" s="113"/>
      <c r="R15" s="114" t="s">
        <v>119</v>
      </c>
      <c r="S15" s="115"/>
    </row>
    <row r="16" spans="1:19" x14ac:dyDescent="0.3">
      <c r="A16" s="6" t="s">
        <v>100</v>
      </c>
      <c r="B16" s="106" t="s">
        <v>69</v>
      </c>
      <c r="C16" s="106"/>
      <c r="D16" s="106"/>
      <c r="E16" s="106"/>
      <c r="F16" s="107" t="s">
        <v>70</v>
      </c>
      <c r="G16" s="107"/>
      <c r="M16" s="6" t="s">
        <v>106</v>
      </c>
      <c r="N16" s="111" t="s">
        <v>120</v>
      </c>
      <c r="O16" s="112"/>
      <c r="P16" s="112"/>
      <c r="Q16" s="113"/>
      <c r="R16" s="114" t="s">
        <v>46</v>
      </c>
      <c r="S16" s="115"/>
    </row>
    <row r="17" spans="1:19" x14ac:dyDescent="0.3">
      <c r="A17" s="6" t="s">
        <v>107</v>
      </c>
      <c r="B17" s="106" t="s">
        <v>33</v>
      </c>
      <c r="C17" s="106"/>
      <c r="D17" s="106"/>
      <c r="E17" s="106"/>
      <c r="F17" s="107" t="s">
        <v>119</v>
      </c>
      <c r="G17" s="107"/>
      <c r="M17" s="6" t="s">
        <v>111</v>
      </c>
      <c r="N17" s="111" t="s">
        <v>121</v>
      </c>
      <c r="O17" s="112"/>
      <c r="P17" s="112"/>
      <c r="Q17" s="113"/>
      <c r="R17" s="114" t="s">
        <v>122</v>
      </c>
      <c r="S17" s="115"/>
    </row>
    <row r="18" spans="1:19" x14ac:dyDescent="0.3">
      <c r="A18" s="6" t="s">
        <v>109</v>
      </c>
      <c r="B18" s="106" t="s">
        <v>123</v>
      </c>
      <c r="C18" s="106"/>
      <c r="D18" s="106"/>
      <c r="E18" s="106"/>
      <c r="F18" s="107" t="s">
        <v>122</v>
      </c>
      <c r="G18" s="107"/>
      <c r="M18" s="6" t="s">
        <v>108</v>
      </c>
      <c r="N18" s="111" t="s">
        <v>124</v>
      </c>
      <c r="O18" s="112"/>
      <c r="P18" s="112"/>
      <c r="Q18" s="113"/>
      <c r="R18" s="114" t="s">
        <v>125</v>
      </c>
      <c r="S18" s="115"/>
    </row>
    <row r="19" spans="1:19" x14ac:dyDescent="0.3">
      <c r="A19" s="6" t="s">
        <v>104</v>
      </c>
      <c r="B19" s="106" t="s">
        <v>35</v>
      </c>
      <c r="C19" s="106"/>
      <c r="D19" s="106"/>
      <c r="E19" s="106"/>
      <c r="F19" s="107" t="s">
        <v>126</v>
      </c>
      <c r="G19" s="107"/>
      <c r="M19" s="6" t="s">
        <v>102</v>
      </c>
      <c r="N19" s="111" t="s">
        <v>127</v>
      </c>
      <c r="O19" s="112"/>
      <c r="P19" s="112"/>
      <c r="Q19" s="113"/>
      <c r="R19" s="114" t="s">
        <v>126</v>
      </c>
      <c r="S19" s="115"/>
    </row>
    <row r="20" spans="1:19" x14ac:dyDescent="0.3">
      <c r="A20" s="6" t="s">
        <v>128</v>
      </c>
      <c r="B20" s="106" t="s">
        <v>41</v>
      </c>
      <c r="C20" s="106"/>
      <c r="D20" s="106"/>
      <c r="E20" s="106"/>
      <c r="F20" s="106" t="s">
        <v>44</v>
      </c>
      <c r="G20" s="106"/>
      <c r="M20" s="6" t="s">
        <v>113</v>
      </c>
      <c r="N20" s="111" t="s">
        <v>89</v>
      </c>
      <c r="O20" s="112"/>
      <c r="P20" s="112"/>
      <c r="Q20" s="113"/>
      <c r="R20" s="114" t="s">
        <v>44</v>
      </c>
      <c r="S20" s="115"/>
    </row>
    <row r="21" spans="1:19" x14ac:dyDescent="0.3">
      <c r="A21" s="6" t="s">
        <v>129</v>
      </c>
      <c r="B21" s="106" t="s">
        <v>130</v>
      </c>
      <c r="C21" s="106"/>
      <c r="D21" s="106"/>
      <c r="E21" s="106"/>
      <c r="F21" s="106" t="s">
        <v>49</v>
      </c>
      <c r="G21" s="106"/>
      <c r="M21" s="6" t="s">
        <v>103</v>
      </c>
      <c r="N21" s="111" t="s">
        <v>131</v>
      </c>
      <c r="O21" s="112"/>
      <c r="P21" s="112"/>
      <c r="Q21" s="113"/>
      <c r="R21" s="114" t="s">
        <v>76</v>
      </c>
      <c r="S21" s="115"/>
    </row>
    <row r="22" spans="1:19" x14ac:dyDescent="0.3">
      <c r="A22" s="6" t="s">
        <v>132</v>
      </c>
      <c r="B22" s="106" t="s">
        <v>133</v>
      </c>
      <c r="C22" s="106"/>
      <c r="D22" s="106"/>
      <c r="E22" s="106"/>
      <c r="F22" s="106" t="s">
        <v>44</v>
      </c>
      <c r="G22" s="106"/>
      <c r="M22" s="6" t="s">
        <v>101</v>
      </c>
      <c r="N22" s="111" t="s">
        <v>91</v>
      </c>
      <c r="O22" s="112"/>
      <c r="P22" s="112"/>
      <c r="Q22" s="113"/>
      <c r="R22" s="114" t="s">
        <v>70</v>
      </c>
      <c r="S22" s="115"/>
    </row>
    <row r="23" spans="1:19" x14ac:dyDescent="0.3">
      <c r="A23" s="6" t="s">
        <v>134</v>
      </c>
      <c r="B23" s="116" t="s">
        <v>95</v>
      </c>
      <c r="C23" s="116"/>
      <c r="D23" s="116"/>
      <c r="E23" s="116"/>
      <c r="F23" s="116" t="s">
        <v>95</v>
      </c>
      <c r="G23" s="116"/>
      <c r="M23" s="6" t="s">
        <v>112</v>
      </c>
      <c r="N23" s="111" t="s">
        <v>83</v>
      </c>
      <c r="O23" s="112"/>
      <c r="P23" s="112"/>
      <c r="Q23" s="113"/>
      <c r="R23" s="114" t="s">
        <v>135</v>
      </c>
      <c r="S23" s="115"/>
    </row>
    <row r="24" spans="1:19" x14ac:dyDescent="0.3">
      <c r="M24" s="6" t="s">
        <v>136</v>
      </c>
      <c r="N24" s="111" t="s">
        <v>137</v>
      </c>
      <c r="O24" s="112"/>
      <c r="P24" s="112"/>
      <c r="Q24" s="113"/>
      <c r="R24" s="114" t="s">
        <v>138</v>
      </c>
      <c r="S24" s="115"/>
    </row>
    <row r="25" spans="1:19" x14ac:dyDescent="0.3">
      <c r="M25" s="11" t="s">
        <v>134</v>
      </c>
      <c r="N25" s="117" t="s">
        <v>95</v>
      </c>
      <c r="O25" s="118"/>
      <c r="P25" s="118"/>
      <c r="Q25" s="118"/>
      <c r="R25" s="118" t="s">
        <v>95</v>
      </c>
      <c r="S25" s="118"/>
    </row>
    <row r="27" spans="1:19" x14ac:dyDescent="0.3">
      <c r="A27" t="s">
        <v>139</v>
      </c>
    </row>
    <row r="28" spans="1:19" x14ac:dyDescent="0.3">
      <c r="A28" t="s">
        <v>140</v>
      </c>
    </row>
    <row r="29" spans="1:19" x14ac:dyDescent="0.3">
      <c r="A29" t="s">
        <v>141</v>
      </c>
    </row>
  </sheetData>
  <mergeCells count="50">
    <mergeCell ref="N21:Q21"/>
    <mergeCell ref="R21:S21"/>
    <mergeCell ref="B23:E23"/>
    <mergeCell ref="F23:G23"/>
    <mergeCell ref="N25:Q25"/>
    <mergeCell ref="R25:S25"/>
    <mergeCell ref="N22:Q22"/>
    <mergeCell ref="R22:S22"/>
    <mergeCell ref="N23:Q23"/>
    <mergeCell ref="R23:S23"/>
    <mergeCell ref="N24:Q24"/>
    <mergeCell ref="R24:S24"/>
    <mergeCell ref="R15:S15"/>
    <mergeCell ref="N16:Q16"/>
    <mergeCell ref="R16:S16"/>
    <mergeCell ref="N17:Q17"/>
    <mergeCell ref="R17:S17"/>
    <mergeCell ref="N15:Q15"/>
    <mergeCell ref="N18:Q18"/>
    <mergeCell ref="R18:S18"/>
    <mergeCell ref="B21:E21"/>
    <mergeCell ref="F21:G21"/>
    <mergeCell ref="B22:E22"/>
    <mergeCell ref="F22:G22"/>
    <mergeCell ref="B18:E18"/>
    <mergeCell ref="F18:G18"/>
    <mergeCell ref="B19:E19"/>
    <mergeCell ref="F19:G19"/>
    <mergeCell ref="B20:E20"/>
    <mergeCell ref="F20:G20"/>
    <mergeCell ref="N19:Q19"/>
    <mergeCell ref="R19:S19"/>
    <mergeCell ref="N20:Q20"/>
    <mergeCell ref="R20:S20"/>
    <mergeCell ref="M1:S1"/>
    <mergeCell ref="M8:S8"/>
    <mergeCell ref="N13:Q13"/>
    <mergeCell ref="N14:Q14"/>
    <mergeCell ref="R14:S14"/>
    <mergeCell ref="B15:E15"/>
    <mergeCell ref="F15:G15"/>
    <mergeCell ref="B16:E16"/>
    <mergeCell ref="F16:G16"/>
    <mergeCell ref="B17:E17"/>
    <mergeCell ref="F17:G17"/>
    <mergeCell ref="A1:G1"/>
    <mergeCell ref="A2:G2"/>
    <mergeCell ref="A8:G8"/>
    <mergeCell ref="B14:E14"/>
    <mergeCell ref="F14:G14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6F79D-DBD6-4DA2-A6B2-7423E06DF7C2}">
  <dimension ref="A1:G24"/>
  <sheetViews>
    <sheetView workbookViewId="0">
      <selection activeCell="F21" sqref="F21:G21"/>
    </sheetView>
  </sheetViews>
  <sheetFormatPr defaultRowHeight="14.4" x14ac:dyDescent="0.3"/>
  <cols>
    <col min="1" max="1" width="12.109375" customWidth="1"/>
    <col min="2" max="2" width="10.5546875" bestFit="1" customWidth="1"/>
    <col min="3" max="3" width="10.33203125" bestFit="1" customWidth="1"/>
    <col min="4" max="4" width="21.109375" customWidth="1"/>
    <col min="5" max="5" width="12" bestFit="1" customWidth="1"/>
    <col min="6" max="6" width="8.33203125" bestFit="1" customWidth="1"/>
    <col min="7" max="7" width="11.88671875" bestFit="1" customWidth="1"/>
  </cols>
  <sheetData>
    <row r="1" spans="1:7" ht="19.8" x14ac:dyDescent="0.4">
      <c r="A1" s="119" t="s">
        <v>0</v>
      </c>
      <c r="B1" s="119"/>
      <c r="C1" s="119"/>
      <c r="D1" s="119"/>
      <c r="E1" s="119"/>
      <c r="F1" s="119"/>
      <c r="G1" s="119"/>
    </row>
    <row r="2" spans="1:7" ht="19.8" x14ac:dyDescent="0.4">
      <c r="A2" s="120" t="s">
        <v>1</v>
      </c>
      <c r="B2" s="120"/>
      <c r="C2" s="120"/>
      <c r="D2" s="120"/>
      <c r="E2" s="120"/>
      <c r="F2" s="120"/>
      <c r="G2" s="120"/>
    </row>
    <row r="3" spans="1:7" ht="17.399999999999999" x14ac:dyDescent="0.35">
      <c r="A3" s="18" t="s">
        <v>2</v>
      </c>
      <c r="B3" s="18" t="s">
        <v>3</v>
      </c>
      <c r="C3" s="18" t="s">
        <v>4</v>
      </c>
      <c r="D3" s="18" t="s">
        <v>5</v>
      </c>
      <c r="E3" s="18" t="s">
        <v>6</v>
      </c>
      <c r="F3" s="18" t="s">
        <v>7</v>
      </c>
      <c r="G3" s="18" t="s">
        <v>8</v>
      </c>
    </row>
    <row r="4" spans="1:7" x14ac:dyDescent="0.3">
      <c r="A4" s="17" t="s">
        <v>9</v>
      </c>
      <c r="B4" s="17"/>
      <c r="C4" s="17" t="s">
        <v>10</v>
      </c>
      <c r="D4" s="17" t="s">
        <v>10</v>
      </c>
      <c r="E4" s="17" t="s">
        <v>11</v>
      </c>
      <c r="F4" s="17" t="s">
        <v>12</v>
      </c>
      <c r="G4" s="17"/>
    </row>
    <row r="5" spans="1:7" x14ac:dyDescent="0.3">
      <c r="A5" s="17" t="s">
        <v>13</v>
      </c>
      <c r="B5" s="17" t="s">
        <v>11</v>
      </c>
      <c r="C5" s="17" t="s">
        <v>10</v>
      </c>
      <c r="D5" s="17" t="s">
        <v>10</v>
      </c>
      <c r="E5" s="17" t="s">
        <v>11</v>
      </c>
      <c r="F5" s="17" t="s">
        <v>12</v>
      </c>
      <c r="G5" s="17" t="s">
        <v>14</v>
      </c>
    </row>
    <row r="6" spans="1:7" x14ac:dyDescent="0.3">
      <c r="A6" s="17" t="s">
        <v>15</v>
      </c>
      <c r="B6" s="17" t="s">
        <v>11</v>
      </c>
      <c r="C6" s="17" t="s">
        <v>16</v>
      </c>
      <c r="D6" s="17" t="s">
        <v>17</v>
      </c>
      <c r="E6" s="17" t="s">
        <v>18</v>
      </c>
      <c r="F6" s="17" t="s">
        <v>18</v>
      </c>
      <c r="G6" s="17" t="s">
        <v>14</v>
      </c>
    </row>
    <row r="7" spans="1:7" x14ac:dyDescent="0.3">
      <c r="A7" s="17" t="s">
        <v>19</v>
      </c>
      <c r="B7" s="17" t="s">
        <v>16</v>
      </c>
      <c r="C7" s="17" t="s">
        <v>16</v>
      </c>
      <c r="D7" s="17" t="s">
        <v>17</v>
      </c>
      <c r="E7" s="17" t="s">
        <v>18</v>
      </c>
      <c r="F7" s="17" t="s">
        <v>18</v>
      </c>
      <c r="G7" s="17" t="s">
        <v>16</v>
      </c>
    </row>
    <row r="8" spans="1:7" ht="17.399999999999999" x14ac:dyDescent="0.35">
      <c r="A8" s="21" t="s">
        <v>20</v>
      </c>
      <c r="B8" s="126" t="s">
        <v>21</v>
      </c>
      <c r="C8" s="127"/>
      <c r="D8" s="127"/>
      <c r="E8" s="127"/>
      <c r="F8" s="127"/>
      <c r="G8" s="128"/>
    </row>
    <row r="9" spans="1:7" x14ac:dyDescent="0.3">
      <c r="A9" s="17" t="s">
        <v>22</v>
      </c>
      <c r="B9" s="17" t="s">
        <v>17</v>
      </c>
      <c r="C9" s="17"/>
      <c r="D9" s="121" t="s">
        <v>23</v>
      </c>
      <c r="E9" s="17" t="s">
        <v>24</v>
      </c>
      <c r="F9" s="17" t="s">
        <v>24</v>
      </c>
      <c r="G9" s="17"/>
    </row>
    <row r="10" spans="1:7" x14ac:dyDescent="0.3">
      <c r="A10" s="17" t="s">
        <v>25</v>
      </c>
      <c r="B10" s="17" t="s">
        <v>17</v>
      </c>
      <c r="C10" s="17"/>
      <c r="D10" s="122"/>
      <c r="E10" s="17" t="s">
        <v>24</v>
      </c>
      <c r="F10" s="17" t="s">
        <v>24</v>
      </c>
      <c r="G10" s="17"/>
    </row>
    <row r="11" spans="1:7" x14ac:dyDescent="0.3">
      <c r="A11" s="20" t="s">
        <v>26</v>
      </c>
      <c r="B11" s="17" t="s">
        <v>12</v>
      </c>
      <c r="C11" s="17" t="s">
        <v>27</v>
      </c>
      <c r="D11" s="17" t="s">
        <v>28</v>
      </c>
      <c r="E11" s="17" t="s">
        <v>14</v>
      </c>
      <c r="F11" s="17" t="s">
        <v>27</v>
      </c>
      <c r="G11" s="17"/>
    </row>
    <row r="12" spans="1:7" x14ac:dyDescent="0.3">
      <c r="A12" s="17" t="s">
        <v>29</v>
      </c>
      <c r="B12" s="17" t="s">
        <v>12</v>
      </c>
      <c r="C12" s="17" t="s">
        <v>27</v>
      </c>
      <c r="D12" s="17"/>
      <c r="E12" s="17" t="s">
        <v>14</v>
      </c>
      <c r="F12" s="17" t="s">
        <v>27</v>
      </c>
      <c r="G12" s="17"/>
    </row>
    <row r="15" spans="1:7" x14ac:dyDescent="0.3">
      <c r="A15" s="19" t="s">
        <v>30</v>
      </c>
      <c r="B15" s="129" t="s">
        <v>31</v>
      </c>
      <c r="C15" s="129"/>
      <c r="D15" s="129"/>
      <c r="E15" s="129"/>
      <c r="F15" s="129" t="s">
        <v>32</v>
      </c>
      <c r="G15" s="129"/>
    </row>
    <row r="16" spans="1:7" x14ac:dyDescent="0.3">
      <c r="A16" s="16" t="s">
        <v>16</v>
      </c>
      <c r="B16" s="123" t="s">
        <v>33</v>
      </c>
      <c r="C16" s="123"/>
      <c r="D16" s="123"/>
      <c r="E16" s="123"/>
      <c r="F16" s="124" t="s">
        <v>34</v>
      </c>
      <c r="G16" s="125"/>
    </row>
    <row r="17" spans="1:7" x14ac:dyDescent="0.3">
      <c r="A17" s="16" t="s">
        <v>18</v>
      </c>
      <c r="B17" s="123" t="s">
        <v>35</v>
      </c>
      <c r="C17" s="123"/>
      <c r="D17" s="123"/>
      <c r="E17" s="123"/>
      <c r="F17" s="124" t="s">
        <v>36</v>
      </c>
      <c r="G17" s="125"/>
    </row>
    <row r="18" spans="1:7" x14ac:dyDescent="0.3">
      <c r="A18" s="16" t="s">
        <v>12</v>
      </c>
      <c r="B18" s="123" t="s">
        <v>37</v>
      </c>
      <c r="C18" s="123"/>
      <c r="D18" s="123"/>
      <c r="E18" s="123"/>
      <c r="F18" s="124" t="s">
        <v>38</v>
      </c>
      <c r="G18" s="125"/>
    </row>
    <row r="19" spans="1:7" x14ac:dyDescent="0.3">
      <c r="A19" s="16" t="s">
        <v>11</v>
      </c>
      <c r="B19" s="123" t="s">
        <v>39</v>
      </c>
      <c r="C19" s="123"/>
      <c r="D19" s="123"/>
      <c r="E19" s="123"/>
      <c r="F19" s="124" t="s">
        <v>40</v>
      </c>
      <c r="G19" s="125"/>
    </row>
    <row r="20" spans="1:7" x14ac:dyDescent="0.3">
      <c r="A20" s="16" t="s">
        <v>10</v>
      </c>
      <c r="B20" s="123" t="s">
        <v>41</v>
      </c>
      <c r="C20" s="123"/>
      <c r="D20" s="123"/>
      <c r="E20" s="123"/>
      <c r="F20" s="124" t="s">
        <v>42</v>
      </c>
      <c r="G20" s="125"/>
    </row>
    <row r="21" spans="1:7" x14ac:dyDescent="0.3">
      <c r="A21" s="16" t="s">
        <v>14</v>
      </c>
      <c r="B21" s="123" t="s">
        <v>43</v>
      </c>
      <c r="C21" s="123"/>
      <c r="D21" s="123"/>
      <c r="E21" s="123"/>
      <c r="F21" s="124" t="s">
        <v>214</v>
      </c>
      <c r="G21" s="125"/>
    </row>
    <row r="22" spans="1:7" x14ac:dyDescent="0.3">
      <c r="A22" s="16" t="s">
        <v>17</v>
      </c>
      <c r="B22" s="123" t="s">
        <v>45</v>
      </c>
      <c r="C22" s="123"/>
      <c r="D22" s="123"/>
      <c r="E22" s="123"/>
      <c r="F22" s="124" t="s">
        <v>46</v>
      </c>
      <c r="G22" s="125"/>
    </row>
    <row r="23" spans="1:7" x14ac:dyDescent="0.3">
      <c r="A23" s="16" t="s">
        <v>27</v>
      </c>
      <c r="B23" s="123" t="s">
        <v>47</v>
      </c>
      <c r="C23" s="123"/>
      <c r="D23" s="123"/>
      <c r="E23" s="123"/>
      <c r="F23" s="124" t="s">
        <v>38</v>
      </c>
      <c r="G23" s="125"/>
    </row>
    <row r="24" spans="1:7" x14ac:dyDescent="0.3">
      <c r="A24" s="16" t="s">
        <v>24</v>
      </c>
      <c r="B24" s="123" t="s">
        <v>48</v>
      </c>
      <c r="C24" s="123"/>
      <c r="D24" s="123"/>
      <c r="E24" s="123"/>
      <c r="F24" s="124" t="s">
        <v>49</v>
      </c>
      <c r="G24" s="125"/>
    </row>
  </sheetData>
  <mergeCells count="24">
    <mergeCell ref="B8:G8"/>
    <mergeCell ref="B20:E20"/>
    <mergeCell ref="B21:E21"/>
    <mergeCell ref="B22:E22"/>
    <mergeCell ref="B15:E15"/>
    <mergeCell ref="F15:G15"/>
    <mergeCell ref="B16:E16"/>
    <mergeCell ref="B17:E17"/>
    <mergeCell ref="A1:G1"/>
    <mergeCell ref="A2:G2"/>
    <mergeCell ref="D9:D10"/>
    <mergeCell ref="B23:E23"/>
    <mergeCell ref="B24:E24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B18:E18"/>
    <mergeCell ref="B19:E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B035D-5C8F-4CC7-89A6-A9E05E31976C}">
  <sheetPr codeName="Sheet5"/>
  <dimension ref="A1:P325"/>
  <sheetViews>
    <sheetView zoomScale="79" workbookViewId="0">
      <selection activeCell="K6" sqref="K6"/>
    </sheetView>
  </sheetViews>
  <sheetFormatPr defaultRowHeight="14.4" x14ac:dyDescent="0.3"/>
  <cols>
    <col min="1" max="1" width="14.33203125" bestFit="1" customWidth="1"/>
    <col min="2" max="2" width="12" bestFit="1" customWidth="1"/>
    <col min="3" max="3" width="11.6640625" bestFit="1" customWidth="1"/>
    <col min="4" max="4" width="10.88671875" bestFit="1" customWidth="1"/>
    <col min="5" max="5" width="14.44140625" bestFit="1" customWidth="1"/>
    <col min="6" max="6" width="15.33203125" bestFit="1" customWidth="1"/>
    <col min="7" max="7" width="9.33203125" bestFit="1" customWidth="1"/>
    <col min="8" max="8" width="14.33203125" bestFit="1" customWidth="1"/>
    <col min="9" max="9" width="38.88671875" bestFit="1" customWidth="1"/>
    <col min="10" max="10" width="22.44140625" bestFit="1" customWidth="1"/>
    <col min="11" max="11" width="17.44140625" customWidth="1"/>
    <col min="13" max="13" width="11.6640625" bestFit="1" customWidth="1"/>
    <col min="14" max="14" width="10.88671875" bestFit="1" customWidth="1"/>
    <col min="15" max="15" width="12" bestFit="1" customWidth="1"/>
    <col min="16" max="16" width="22.44140625" bestFit="1" customWidth="1"/>
  </cols>
  <sheetData>
    <row r="1" spans="1:16" ht="18" x14ac:dyDescent="0.3">
      <c r="A1" s="22" t="s">
        <v>142</v>
      </c>
      <c r="B1" s="22" t="s">
        <v>143</v>
      </c>
      <c r="C1" s="22" t="s">
        <v>144</v>
      </c>
      <c r="D1" s="22" t="s">
        <v>145</v>
      </c>
      <c r="E1" s="22" t="s">
        <v>146</v>
      </c>
      <c r="F1" s="22" t="s">
        <v>147</v>
      </c>
      <c r="G1" s="22" t="s">
        <v>148</v>
      </c>
      <c r="H1" s="22" t="s">
        <v>149</v>
      </c>
      <c r="I1" s="22" t="s">
        <v>150</v>
      </c>
      <c r="J1" s="22" t="s">
        <v>151</v>
      </c>
      <c r="K1" s="22" t="s">
        <v>211</v>
      </c>
      <c r="L1" s="22" t="s">
        <v>148</v>
      </c>
      <c r="M1" s="22" t="s">
        <v>144</v>
      </c>
      <c r="N1" s="22" t="s">
        <v>145</v>
      </c>
      <c r="O1" s="22" t="s">
        <v>149</v>
      </c>
      <c r="P1" s="22" t="s">
        <v>150</v>
      </c>
    </row>
    <row r="2" spans="1:16" x14ac:dyDescent="0.3">
      <c r="A2" s="4">
        <v>2</v>
      </c>
      <c r="B2" s="4" t="s">
        <v>139</v>
      </c>
      <c r="C2" s="4" t="s">
        <v>3</v>
      </c>
      <c r="D2" s="4" t="s">
        <v>9</v>
      </c>
      <c r="E2" s="4" t="str">
        <f>IF(C2="MONDAY","M",IF(C2="TUESDAY","T",IF(C2="WEDNESDAY","W",IF(C2="THURSDAY","TH",IF(C2="FRIDAY","F",IF(C2="SATURDAY","S","NA"))))))</f>
        <v>M</v>
      </c>
      <c r="F2" s="4">
        <v>1</v>
      </c>
      <c r="G2" s="4" t="str">
        <f>_xlfn.CONCAT(E2,F2)</f>
        <v>M1</v>
      </c>
      <c r="H2" s="4" t="s">
        <v>68</v>
      </c>
      <c r="I2" s="23" t="s">
        <v>69</v>
      </c>
      <c r="J2" s="23" t="s">
        <v>70</v>
      </c>
      <c r="K2" s="4" t="s">
        <v>204</v>
      </c>
      <c r="L2" t="str">
        <f t="shared" ref="L2:L65" si="0">_xlfn.CONCAT(K2,G2)</f>
        <v>PKM1</v>
      </c>
      <c r="M2" s="4" t="str">
        <f>C2</f>
        <v>MONDAY</v>
      </c>
      <c r="N2" s="4" t="str">
        <f>D2</f>
        <v>09:00-10:00</v>
      </c>
      <c r="O2" t="str">
        <f>H2</f>
        <v>BA203</v>
      </c>
      <c r="P2" t="str">
        <f>J2</f>
        <v>Dr. Pramod Kumar Mishra</v>
      </c>
    </row>
    <row r="3" spans="1:16" x14ac:dyDescent="0.3">
      <c r="A3" s="4">
        <v>2</v>
      </c>
      <c r="B3" s="4" t="s">
        <v>139</v>
      </c>
      <c r="C3" s="4" t="s">
        <v>3</v>
      </c>
      <c r="D3" s="4" t="s">
        <v>13</v>
      </c>
      <c r="E3" s="4" t="str">
        <f t="shared" ref="E3:E66" si="1">IF(C3="MONDAY","M",IF(C3="TUESDAY","T",IF(C3="WEDNESDAY","W",IF(C3="THURSDAY","TH",IF(C3="FRIDAY","F",IF(C3="SATURDAY","S","NA"))))))</f>
        <v>M</v>
      </c>
      <c r="F3" s="4">
        <v>2</v>
      </c>
      <c r="G3" s="4" t="str">
        <f t="shared" ref="G3:G66" si="2">_xlfn.CONCAT(E3,F3)</f>
        <v>M2</v>
      </c>
      <c r="H3" s="4" t="s">
        <v>68</v>
      </c>
      <c r="I3" s="23" t="s">
        <v>69</v>
      </c>
      <c r="J3" s="23" t="s">
        <v>70</v>
      </c>
      <c r="K3" s="4" t="s">
        <v>204</v>
      </c>
      <c r="L3" t="str">
        <f t="shared" si="0"/>
        <v>PKM2</v>
      </c>
      <c r="M3" s="4" t="str">
        <f t="shared" ref="M3:M66" si="3">C3</f>
        <v>MONDAY</v>
      </c>
      <c r="N3" s="4" t="str">
        <f t="shared" ref="N3:N66" si="4">D3</f>
        <v>10:00-11:00</v>
      </c>
      <c r="O3" t="str">
        <f t="shared" ref="O3:O66" si="5">H3</f>
        <v>BA203</v>
      </c>
      <c r="P3" t="str">
        <f t="shared" ref="P3:P66" si="6">J3</f>
        <v>Dr. Pramod Kumar Mishra</v>
      </c>
    </row>
    <row r="4" spans="1:16" x14ac:dyDescent="0.3">
      <c r="A4" s="4">
        <v>2</v>
      </c>
      <c r="B4" s="4" t="s">
        <v>139</v>
      </c>
      <c r="C4" s="4" t="s">
        <v>3</v>
      </c>
      <c r="D4" s="4" t="s">
        <v>15</v>
      </c>
      <c r="E4" s="4" t="str">
        <f t="shared" si="1"/>
        <v>M</v>
      </c>
      <c r="F4" s="4">
        <v>3</v>
      </c>
      <c r="G4" s="4" t="str">
        <f t="shared" si="2"/>
        <v>M3</v>
      </c>
      <c r="H4" s="4" t="s">
        <v>96</v>
      </c>
      <c r="I4" s="4" t="s">
        <v>95</v>
      </c>
      <c r="J4" s="4" t="s">
        <v>95</v>
      </c>
      <c r="K4" s="4" t="s">
        <v>95</v>
      </c>
      <c r="L4" t="str">
        <f t="shared" si="0"/>
        <v>NAM3</v>
      </c>
      <c r="M4" s="4" t="str">
        <f t="shared" si="3"/>
        <v>MONDAY</v>
      </c>
      <c r="N4" s="4" t="str">
        <f t="shared" si="4"/>
        <v>11:00-12:00</v>
      </c>
      <c r="O4" t="str">
        <f t="shared" si="5"/>
        <v>LEISURE</v>
      </c>
      <c r="P4" t="str">
        <f t="shared" si="6"/>
        <v>NA</v>
      </c>
    </row>
    <row r="5" spans="1:16" x14ac:dyDescent="0.3">
      <c r="A5" s="4">
        <v>2</v>
      </c>
      <c r="B5" s="4" t="s">
        <v>139</v>
      </c>
      <c r="C5" s="4" t="s">
        <v>3</v>
      </c>
      <c r="D5" s="4" t="s">
        <v>19</v>
      </c>
      <c r="E5" s="4" t="str">
        <f t="shared" si="1"/>
        <v>M</v>
      </c>
      <c r="F5" s="4">
        <v>4</v>
      </c>
      <c r="G5" s="4" t="str">
        <f t="shared" si="2"/>
        <v>M4</v>
      </c>
      <c r="H5" s="4" t="s">
        <v>96</v>
      </c>
      <c r="I5" s="4" t="s">
        <v>95</v>
      </c>
      <c r="J5" s="4" t="s">
        <v>95</v>
      </c>
      <c r="K5" s="4" t="s">
        <v>95</v>
      </c>
      <c r="L5" t="str">
        <f t="shared" si="0"/>
        <v>NAM4</v>
      </c>
      <c r="M5" s="4" t="str">
        <f t="shared" si="3"/>
        <v>MONDAY</v>
      </c>
      <c r="N5" s="4" t="str">
        <f t="shared" si="4"/>
        <v>12:00-01:00</v>
      </c>
      <c r="O5" t="str">
        <f t="shared" si="5"/>
        <v>LEISURE</v>
      </c>
      <c r="P5" t="str">
        <f t="shared" si="6"/>
        <v>NA</v>
      </c>
    </row>
    <row r="6" spans="1:16" x14ac:dyDescent="0.3">
      <c r="A6" s="4">
        <v>2</v>
      </c>
      <c r="B6" s="4" t="s">
        <v>139</v>
      </c>
      <c r="C6" s="4" t="s">
        <v>3</v>
      </c>
      <c r="D6" s="4" t="s">
        <v>152</v>
      </c>
      <c r="E6" s="4" t="str">
        <f t="shared" si="1"/>
        <v>M</v>
      </c>
      <c r="F6" s="4">
        <v>5</v>
      </c>
      <c r="G6" s="4" t="str">
        <f t="shared" si="2"/>
        <v>M5</v>
      </c>
      <c r="H6" s="4" t="s">
        <v>94</v>
      </c>
      <c r="I6" s="4" t="s">
        <v>95</v>
      </c>
      <c r="J6" s="4" t="s">
        <v>95</v>
      </c>
      <c r="K6" s="4" t="s">
        <v>95</v>
      </c>
      <c r="L6" t="str">
        <f t="shared" si="0"/>
        <v>NAM5</v>
      </c>
      <c r="M6" s="4" t="str">
        <f t="shared" si="3"/>
        <v>MONDAY</v>
      </c>
      <c r="N6" s="4" t="str">
        <f t="shared" si="4"/>
        <v>01:00-02:00</v>
      </c>
      <c r="O6" t="str">
        <f t="shared" si="5"/>
        <v>LUNCH</v>
      </c>
      <c r="P6" t="str">
        <f t="shared" si="6"/>
        <v>NA</v>
      </c>
    </row>
    <row r="7" spans="1:16" x14ac:dyDescent="0.3">
      <c r="A7" s="4">
        <v>2</v>
      </c>
      <c r="B7" s="4" t="s">
        <v>139</v>
      </c>
      <c r="C7" s="4" t="s">
        <v>3</v>
      </c>
      <c r="D7" s="4" t="s">
        <v>22</v>
      </c>
      <c r="E7" s="4" t="str">
        <f t="shared" si="1"/>
        <v>M</v>
      </c>
      <c r="F7" s="4">
        <v>6</v>
      </c>
      <c r="G7" s="4" t="str">
        <f t="shared" si="2"/>
        <v>M6</v>
      </c>
      <c r="H7" s="4" t="s">
        <v>71</v>
      </c>
      <c r="I7" s="24" t="s">
        <v>72</v>
      </c>
      <c r="J7" s="24" t="s">
        <v>73</v>
      </c>
      <c r="K7" s="4" t="s">
        <v>209</v>
      </c>
      <c r="L7" t="str">
        <f t="shared" si="0"/>
        <v>DVM6</v>
      </c>
      <c r="M7" s="4" t="str">
        <f t="shared" si="3"/>
        <v>MONDAY</v>
      </c>
      <c r="N7" s="4" t="str">
        <f t="shared" si="4"/>
        <v>02:00-03:00</v>
      </c>
      <c r="O7" t="str">
        <f t="shared" si="5"/>
        <v>BA204</v>
      </c>
      <c r="P7" t="str">
        <f t="shared" si="6"/>
        <v>Dr.D.V Srinivas Kumar</v>
      </c>
    </row>
    <row r="8" spans="1:16" x14ac:dyDescent="0.3">
      <c r="A8" s="4">
        <v>2</v>
      </c>
      <c r="B8" s="4" t="s">
        <v>139</v>
      </c>
      <c r="C8" s="4" t="s">
        <v>3</v>
      </c>
      <c r="D8" s="4" t="s">
        <v>25</v>
      </c>
      <c r="E8" s="4" t="str">
        <f t="shared" si="1"/>
        <v>M</v>
      </c>
      <c r="F8" s="4">
        <v>7</v>
      </c>
      <c r="G8" s="4" t="str">
        <f t="shared" si="2"/>
        <v>M7</v>
      </c>
      <c r="H8" s="4" t="s">
        <v>71</v>
      </c>
      <c r="I8" s="24" t="s">
        <v>72</v>
      </c>
      <c r="J8" s="24" t="s">
        <v>73</v>
      </c>
      <c r="K8" s="4" t="s">
        <v>209</v>
      </c>
      <c r="L8" t="str">
        <f t="shared" si="0"/>
        <v>DVM7</v>
      </c>
      <c r="M8" s="4" t="str">
        <f t="shared" si="3"/>
        <v>MONDAY</v>
      </c>
      <c r="N8" s="4" t="str">
        <f t="shared" si="4"/>
        <v>03:00-04:00</v>
      </c>
      <c r="O8" t="str">
        <f t="shared" si="5"/>
        <v>BA204</v>
      </c>
      <c r="P8" t="str">
        <f t="shared" si="6"/>
        <v>Dr.D.V Srinivas Kumar</v>
      </c>
    </row>
    <row r="9" spans="1:16" x14ac:dyDescent="0.3">
      <c r="A9" s="4">
        <v>2</v>
      </c>
      <c r="B9" s="4" t="s">
        <v>139</v>
      </c>
      <c r="C9" s="4" t="s">
        <v>3</v>
      </c>
      <c r="D9" s="4" t="s">
        <v>26</v>
      </c>
      <c r="E9" s="4" t="str">
        <f t="shared" si="1"/>
        <v>M</v>
      </c>
      <c r="F9" s="4">
        <v>8</v>
      </c>
      <c r="G9" s="4" t="str">
        <f t="shared" si="2"/>
        <v>M8</v>
      </c>
      <c r="H9" s="4" t="s">
        <v>96</v>
      </c>
      <c r="I9" s="4" t="s">
        <v>95</v>
      </c>
      <c r="J9" s="4" t="s">
        <v>95</v>
      </c>
      <c r="K9" s="4" t="s">
        <v>95</v>
      </c>
      <c r="L9" t="str">
        <f t="shared" si="0"/>
        <v>NAM8</v>
      </c>
      <c r="M9" s="4" t="str">
        <f t="shared" si="3"/>
        <v>MONDAY</v>
      </c>
      <c r="N9" s="4" t="str">
        <f t="shared" si="4"/>
        <v>04:00-05:00</v>
      </c>
      <c r="O9" t="str">
        <f t="shared" si="5"/>
        <v>LEISURE</v>
      </c>
      <c r="P9" t="str">
        <f t="shared" si="6"/>
        <v>NA</v>
      </c>
    </row>
    <row r="10" spans="1:16" x14ac:dyDescent="0.3">
      <c r="A10" s="4">
        <v>2</v>
      </c>
      <c r="B10" s="4" t="s">
        <v>139</v>
      </c>
      <c r="C10" s="4" t="s">
        <v>3</v>
      </c>
      <c r="D10" s="4" t="s">
        <v>29</v>
      </c>
      <c r="E10" s="4" t="str">
        <f t="shared" si="1"/>
        <v>M</v>
      </c>
      <c r="F10" s="4">
        <v>9</v>
      </c>
      <c r="G10" s="4" t="str">
        <f t="shared" si="2"/>
        <v>M9</v>
      </c>
      <c r="H10" s="4" t="s">
        <v>96</v>
      </c>
      <c r="I10" s="4" t="s">
        <v>95</v>
      </c>
      <c r="J10" s="4" t="s">
        <v>95</v>
      </c>
      <c r="K10" s="4" t="s">
        <v>95</v>
      </c>
      <c r="L10" t="str">
        <f t="shared" si="0"/>
        <v>NAM9</v>
      </c>
      <c r="M10" s="4" t="str">
        <f t="shared" si="3"/>
        <v>MONDAY</v>
      </c>
      <c r="N10" s="4" t="str">
        <f t="shared" si="4"/>
        <v>05:00-06:00</v>
      </c>
      <c r="O10" t="str">
        <f t="shared" si="5"/>
        <v>LEISURE</v>
      </c>
      <c r="P10" t="str">
        <f t="shared" si="6"/>
        <v>NA</v>
      </c>
    </row>
    <row r="11" spans="1:16" x14ac:dyDescent="0.3">
      <c r="A11" s="4">
        <v>2</v>
      </c>
      <c r="B11" s="4" t="s">
        <v>139</v>
      </c>
      <c r="C11" s="4" t="s">
        <v>4</v>
      </c>
      <c r="D11" s="4" t="s">
        <v>9</v>
      </c>
      <c r="E11" s="4" t="str">
        <f t="shared" si="1"/>
        <v>T</v>
      </c>
      <c r="F11" s="4">
        <v>1</v>
      </c>
      <c r="G11" s="4" t="str">
        <f t="shared" si="2"/>
        <v>T1</v>
      </c>
      <c r="H11" s="4" t="s">
        <v>74</v>
      </c>
      <c r="I11" s="24" t="s">
        <v>75</v>
      </c>
      <c r="J11" s="24" t="s">
        <v>76</v>
      </c>
      <c r="K11" s="4" t="s">
        <v>210</v>
      </c>
      <c r="L11" t="str">
        <f t="shared" si="0"/>
        <v>GVT1</v>
      </c>
      <c r="M11" s="4" t="str">
        <f t="shared" si="3"/>
        <v>TUESDAY</v>
      </c>
      <c r="N11" s="4" t="str">
        <f t="shared" si="4"/>
        <v>09:00-10:00</v>
      </c>
      <c r="O11" t="str">
        <f t="shared" si="5"/>
        <v>BA205</v>
      </c>
      <c r="P11" t="str">
        <f t="shared" si="6"/>
        <v>Prof. G.V.R.K. Acharyulu</v>
      </c>
    </row>
    <row r="12" spans="1:16" x14ac:dyDescent="0.3">
      <c r="A12" s="4">
        <v>2</v>
      </c>
      <c r="B12" s="4" t="s">
        <v>139</v>
      </c>
      <c r="C12" s="4" t="s">
        <v>4</v>
      </c>
      <c r="D12" s="4" t="s">
        <v>13</v>
      </c>
      <c r="E12" s="4" t="str">
        <f t="shared" si="1"/>
        <v>T</v>
      </c>
      <c r="F12" s="4">
        <v>2</v>
      </c>
      <c r="G12" s="4" t="str">
        <f t="shared" si="2"/>
        <v>T2</v>
      </c>
      <c r="H12" s="4" t="s">
        <v>74</v>
      </c>
      <c r="I12" s="24" t="s">
        <v>75</v>
      </c>
      <c r="J12" s="24" t="s">
        <v>76</v>
      </c>
      <c r="K12" s="4" t="s">
        <v>210</v>
      </c>
      <c r="L12" t="str">
        <f t="shared" si="0"/>
        <v>GVT2</v>
      </c>
      <c r="M12" s="4" t="str">
        <f t="shared" si="3"/>
        <v>TUESDAY</v>
      </c>
      <c r="N12" s="4" t="str">
        <f t="shared" si="4"/>
        <v>10:00-11:00</v>
      </c>
      <c r="O12" t="str">
        <f t="shared" si="5"/>
        <v>BA205</v>
      </c>
      <c r="P12" t="str">
        <f t="shared" si="6"/>
        <v>Prof. G.V.R.K. Acharyulu</v>
      </c>
    </row>
    <row r="13" spans="1:16" x14ac:dyDescent="0.3">
      <c r="A13" s="4">
        <v>2</v>
      </c>
      <c r="B13" s="4" t="s">
        <v>139</v>
      </c>
      <c r="C13" s="4" t="s">
        <v>4</v>
      </c>
      <c r="D13" s="4" t="s">
        <v>15</v>
      </c>
      <c r="E13" s="4" t="str">
        <f t="shared" si="1"/>
        <v>T</v>
      </c>
      <c r="F13" s="4">
        <v>3</v>
      </c>
      <c r="G13" s="4" t="str">
        <f t="shared" si="2"/>
        <v>T3</v>
      </c>
      <c r="H13" s="4" t="s">
        <v>66</v>
      </c>
      <c r="I13" s="24" t="s">
        <v>35</v>
      </c>
      <c r="J13" s="24" t="s">
        <v>67</v>
      </c>
      <c r="K13" s="4" t="s">
        <v>208</v>
      </c>
      <c r="L13" t="str">
        <f t="shared" si="0"/>
        <v>RPT3</v>
      </c>
      <c r="M13" s="4" t="str">
        <f t="shared" si="3"/>
        <v>TUESDAY</v>
      </c>
      <c r="N13" s="4" t="str">
        <f t="shared" si="4"/>
        <v>11:00-12:00</v>
      </c>
      <c r="O13" t="str">
        <f t="shared" si="5"/>
        <v>BA202</v>
      </c>
      <c r="P13" t="str">
        <f t="shared" si="6"/>
        <v xml:space="preserve">Dr. R. Prasanth Kumar </v>
      </c>
    </row>
    <row r="14" spans="1:16" x14ac:dyDescent="0.3">
      <c r="A14" s="4">
        <v>2</v>
      </c>
      <c r="B14" s="4" t="s">
        <v>139</v>
      </c>
      <c r="C14" s="4" t="s">
        <v>4</v>
      </c>
      <c r="D14" s="4" t="s">
        <v>19</v>
      </c>
      <c r="E14" s="4" t="str">
        <f t="shared" si="1"/>
        <v>T</v>
      </c>
      <c r="F14" s="4">
        <v>4</v>
      </c>
      <c r="G14" s="4" t="str">
        <f t="shared" si="2"/>
        <v>T4</v>
      </c>
      <c r="H14" s="4" t="s">
        <v>66</v>
      </c>
      <c r="I14" s="24" t="s">
        <v>35</v>
      </c>
      <c r="J14" s="24" t="s">
        <v>67</v>
      </c>
      <c r="K14" s="4" t="s">
        <v>208</v>
      </c>
      <c r="L14" t="str">
        <f t="shared" si="0"/>
        <v>RPT4</v>
      </c>
      <c r="M14" s="4" t="str">
        <f t="shared" si="3"/>
        <v>TUESDAY</v>
      </c>
      <c r="N14" s="4" t="str">
        <f t="shared" si="4"/>
        <v>12:00-01:00</v>
      </c>
      <c r="O14" t="str">
        <f t="shared" si="5"/>
        <v>BA202</v>
      </c>
      <c r="P14" t="str">
        <f t="shared" si="6"/>
        <v xml:space="preserve">Dr. R. Prasanth Kumar </v>
      </c>
    </row>
    <row r="15" spans="1:16" x14ac:dyDescent="0.3">
      <c r="A15" s="4">
        <v>2</v>
      </c>
      <c r="B15" s="4" t="s">
        <v>139</v>
      </c>
      <c r="C15" s="4" t="s">
        <v>4</v>
      </c>
      <c r="D15" s="4" t="s">
        <v>152</v>
      </c>
      <c r="E15" s="4" t="str">
        <f t="shared" si="1"/>
        <v>T</v>
      </c>
      <c r="F15" s="4">
        <v>5</v>
      </c>
      <c r="G15" s="4" t="str">
        <f t="shared" si="2"/>
        <v>T5</v>
      </c>
      <c r="H15" s="4" t="s">
        <v>94</v>
      </c>
      <c r="I15" s="4" t="s">
        <v>95</v>
      </c>
      <c r="J15" s="4" t="s">
        <v>95</v>
      </c>
      <c r="K15" s="4" t="s">
        <v>95</v>
      </c>
      <c r="L15" t="str">
        <f t="shared" si="0"/>
        <v>NAT5</v>
      </c>
      <c r="M15" s="4" t="str">
        <f t="shared" si="3"/>
        <v>TUESDAY</v>
      </c>
      <c r="N15" s="4" t="str">
        <f t="shared" si="4"/>
        <v>01:00-02:00</v>
      </c>
      <c r="O15" t="str">
        <f t="shared" si="5"/>
        <v>LUNCH</v>
      </c>
      <c r="P15" t="str">
        <f t="shared" si="6"/>
        <v>NA</v>
      </c>
    </row>
    <row r="16" spans="1:16" x14ac:dyDescent="0.3">
      <c r="A16" s="4">
        <v>2</v>
      </c>
      <c r="B16" s="4" t="s">
        <v>139</v>
      </c>
      <c r="C16" s="4" t="s">
        <v>4</v>
      </c>
      <c r="D16" s="4" t="s">
        <v>22</v>
      </c>
      <c r="E16" s="4" t="str">
        <f t="shared" si="1"/>
        <v>T</v>
      </c>
      <c r="F16" s="4">
        <v>6</v>
      </c>
      <c r="G16" s="4" t="str">
        <f t="shared" si="2"/>
        <v>T6</v>
      </c>
      <c r="H16" s="4" t="s">
        <v>71</v>
      </c>
      <c r="I16" s="24" t="s">
        <v>72</v>
      </c>
      <c r="J16" s="24" t="s">
        <v>73</v>
      </c>
      <c r="K16" s="4" t="s">
        <v>209</v>
      </c>
      <c r="L16" t="str">
        <f t="shared" si="0"/>
        <v>DVT6</v>
      </c>
      <c r="M16" s="4" t="str">
        <f t="shared" si="3"/>
        <v>TUESDAY</v>
      </c>
      <c r="N16" s="4" t="str">
        <f t="shared" si="4"/>
        <v>02:00-03:00</v>
      </c>
      <c r="O16" t="str">
        <f t="shared" si="5"/>
        <v>BA204</v>
      </c>
      <c r="P16" t="str">
        <f t="shared" si="6"/>
        <v>Dr.D.V Srinivas Kumar</v>
      </c>
    </row>
    <row r="17" spans="1:16" x14ac:dyDescent="0.3">
      <c r="A17" s="4">
        <v>2</v>
      </c>
      <c r="B17" s="4" t="s">
        <v>139</v>
      </c>
      <c r="C17" s="4" t="s">
        <v>4</v>
      </c>
      <c r="D17" s="4" t="s">
        <v>25</v>
      </c>
      <c r="E17" s="4" t="str">
        <f t="shared" si="1"/>
        <v>T</v>
      </c>
      <c r="F17" s="4">
        <v>7</v>
      </c>
      <c r="G17" s="4" t="str">
        <f t="shared" si="2"/>
        <v>T7</v>
      </c>
      <c r="H17" s="4" t="s">
        <v>71</v>
      </c>
      <c r="I17" s="24" t="s">
        <v>72</v>
      </c>
      <c r="J17" s="24" t="s">
        <v>73</v>
      </c>
      <c r="K17" s="4" t="s">
        <v>209</v>
      </c>
      <c r="L17" t="str">
        <f t="shared" si="0"/>
        <v>DVT7</v>
      </c>
      <c r="M17" s="4" t="str">
        <f t="shared" si="3"/>
        <v>TUESDAY</v>
      </c>
      <c r="N17" s="4" t="str">
        <f t="shared" si="4"/>
        <v>03:00-04:00</v>
      </c>
      <c r="O17" t="str">
        <f t="shared" si="5"/>
        <v>BA204</v>
      </c>
      <c r="P17" t="str">
        <f t="shared" si="6"/>
        <v>Dr.D.V Srinivas Kumar</v>
      </c>
    </row>
    <row r="18" spans="1:16" x14ac:dyDescent="0.3">
      <c r="A18" s="4">
        <v>2</v>
      </c>
      <c r="B18" s="4" t="s">
        <v>139</v>
      </c>
      <c r="C18" s="4" t="s">
        <v>4</v>
      </c>
      <c r="D18" s="4" t="s">
        <v>26</v>
      </c>
      <c r="E18" s="4" t="str">
        <f t="shared" si="1"/>
        <v>T</v>
      </c>
      <c r="F18" s="4">
        <v>8</v>
      </c>
      <c r="G18" s="4" t="str">
        <f t="shared" si="2"/>
        <v>T8</v>
      </c>
      <c r="H18" s="4" t="s">
        <v>96</v>
      </c>
      <c r="I18" s="4" t="s">
        <v>95</v>
      </c>
      <c r="J18" s="4" t="s">
        <v>95</v>
      </c>
      <c r="K18" s="4" t="s">
        <v>95</v>
      </c>
      <c r="L18" t="str">
        <f t="shared" si="0"/>
        <v>NAT8</v>
      </c>
      <c r="M18" s="4" t="str">
        <f t="shared" si="3"/>
        <v>TUESDAY</v>
      </c>
      <c r="N18" s="4" t="str">
        <f t="shared" si="4"/>
        <v>04:00-05:00</v>
      </c>
      <c r="O18" t="str">
        <f t="shared" si="5"/>
        <v>LEISURE</v>
      </c>
      <c r="P18" t="str">
        <f t="shared" si="6"/>
        <v>NA</v>
      </c>
    </row>
    <row r="19" spans="1:16" x14ac:dyDescent="0.3">
      <c r="A19" s="4">
        <v>2</v>
      </c>
      <c r="B19" s="4" t="s">
        <v>139</v>
      </c>
      <c r="C19" s="4" t="s">
        <v>4</v>
      </c>
      <c r="D19" s="4" t="s">
        <v>29</v>
      </c>
      <c r="E19" s="4" t="str">
        <f t="shared" si="1"/>
        <v>T</v>
      </c>
      <c r="F19" s="4">
        <v>9</v>
      </c>
      <c r="G19" s="4" t="str">
        <f t="shared" si="2"/>
        <v>T9</v>
      </c>
      <c r="H19" s="4" t="s">
        <v>96</v>
      </c>
      <c r="I19" s="4" t="s">
        <v>95</v>
      </c>
      <c r="J19" s="4" t="s">
        <v>95</v>
      </c>
      <c r="K19" s="4" t="s">
        <v>95</v>
      </c>
      <c r="L19" t="str">
        <f t="shared" si="0"/>
        <v>NAT9</v>
      </c>
      <c r="M19" s="4" t="str">
        <f t="shared" si="3"/>
        <v>TUESDAY</v>
      </c>
      <c r="N19" s="4" t="str">
        <f t="shared" si="4"/>
        <v>05:00-06:00</v>
      </c>
      <c r="O19" t="str">
        <f t="shared" si="5"/>
        <v>LEISURE</v>
      </c>
      <c r="P19" t="str">
        <f t="shared" si="6"/>
        <v>NA</v>
      </c>
    </row>
    <row r="20" spans="1:16" x14ac:dyDescent="0.3">
      <c r="A20" s="4">
        <v>2</v>
      </c>
      <c r="B20" s="4" t="s">
        <v>139</v>
      </c>
      <c r="C20" s="4" t="s">
        <v>5</v>
      </c>
      <c r="D20" s="4" t="s">
        <v>9</v>
      </c>
      <c r="E20" s="4" t="str">
        <f t="shared" si="1"/>
        <v>W</v>
      </c>
      <c r="F20" s="4">
        <v>1</v>
      </c>
      <c r="G20" s="4" t="str">
        <f t="shared" si="2"/>
        <v>W1</v>
      </c>
      <c r="H20" s="4" t="s">
        <v>74</v>
      </c>
      <c r="I20" s="24" t="s">
        <v>75</v>
      </c>
      <c r="J20" s="24" t="s">
        <v>76</v>
      </c>
      <c r="K20" s="4" t="s">
        <v>210</v>
      </c>
      <c r="L20" t="str">
        <f t="shared" si="0"/>
        <v>GVW1</v>
      </c>
      <c r="M20" s="4" t="str">
        <f t="shared" si="3"/>
        <v>WEDNESDAY</v>
      </c>
      <c r="N20" s="4" t="str">
        <f t="shared" si="4"/>
        <v>09:00-10:00</v>
      </c>
      <c r="O20" t="str">
        <f t="shared" si="5"/>
        <v>BA205</v>
      </c>
      <c r="P20" t="str">
        <f t="shared" si="6"/>
        <v>Prof. G.V.R.K. Acharyulu</v>
      </c>
    </row>
    <row r="21" spans="1:16" x14ac:dyDescent="0.3">
      <c r="A21" s="4">
        <v>2</v>
      </c>
      <c r="B21" s="4" t="s">
        <v>139</v>
      </c>
      <c r="C21" s="4" t="s">
        <v>5</v>
      </c>
      <c r="D21" s="4" t="s">
        <v>13</v>
      </c>
      <c r="E21" s="4" t="str">
        <f t="shared" si="1"/>
        <v>W</v>
      </c>
      <c r="F21" s="4">
        <v>2</v>
      </c>
      <c r="G21" s="4" t="str">
        <f t="shared" si="2"/>
        <v>W2</v>
      </c>
      <c r="H21" s="4" t="s">
        <v>74</v>
      </c>
      <c r="I21" s="24" t="s">
        <v>75</v>
      </c>
      <c r="J21" s="24" t="s">
        <v>76</v>
      </c>
      <c r="K21" s="4" t="s">
        <v>210</v>
      </c>
      <c r="L21" t="str">
        <f t="shared" si="0"/>
        <v>GVW2</v>
      </c>
      <c r="M21" s="4" t="str">
        <f t="shared" si="3"/>
        <v>WEDNESDAY</v>
      </c>
      <c r="N21" s="4" t="str">
        <f t="shared" si="4"/>
        <v>10:00-11:00</v>
      </c>
      <c r="O21" t="str">
        <f t="shared" si="5"/>
        <v>BA205</v>
      </c>
      <c r="P21" t="str">
        <f t="shared" si="6"/>
        <v>Prof. G.V.R.K. Acharyulu</v>
      </c>
    </row>
    <row r="22" spans="1:16" x14ac:dyDescent="0.3">
      <c r="A22" s="4">
        <v>2</v>
      </c>
      <c r="B22" s="4" t="s">
        <v>139</v>
      </c>
      <c r="C22" s="4" t="s">
        <v>5</v>
      </c>
      <c r="D22" s="4" t="s">
        <v>15</v>
      </c>
      <c r="E22" s="4" t="str">
        <f t="shared" si="1"/>
        <v>W</v>
      </c>
      <c r="F22" s="4">
        <v>3</v>
      </c>
      <c r="G22" s="4" t="str">
        <f t="shared" si="2"/>
        <v>W3</v>
      </c>
      <c r="H22" s="4" t="s">
        <v>85</v>
      </c>
      <c r="I22" s="24" t="s">
        <v>86</v>
      </c>
      <c r="J22" s="24" t="s">
        <v>87</v>
      </c>
      <c r="K22" s="4" t="s">
        <v>201</v>
      </c>
      <c r="L22" t="str">
        <f t="shared" si="0"/>
        <v>ILW3</v>
      </c>
      <c r="M22" s="4" t="str">
        <f t="shared" si="3"/>
        <v>WEDNESDAY</v>
      </c>
      <c r="N22" s="4" t="str">
        <f t="shared" si="4"/>
        <v>11:00-12:00</v>
      </c>
      <c r="O22" t="str">
        <f t="shared" si="5"/>
        <v>BA209</v>
      </c>
      <c r="P22" t="str">
        <f t="shared" si="6"/>
        <v>Dr. I. Loknandha reddy</v>
      </c>
    </row>
    <row r="23" spans="1:16" x14ac:dyDescent="0.3">
      <c r="A23" s="4">
        <v>2</v>
      </c>
      <c r="B23" s="4" t="s">
        <v>139</v>
      </c>
      <c r="C23" s="4" t="s">
        <v>5</v>
      </c>
      <c r="D23" s="4" t="s">
        <v>19</v>
      </c>
      <c r="E23" s="4" t="str">
        <f t="shared" si="1"/>
        <v>W</v>
      </c>
      <c r="F23" s="4">
        <v>4</v>
      </c>
      <c r="G23" s="4" t="str">
        <f t="shared" si="2"/>
        <v>W4</v>
      </c>
      <c r="H23" s="4" t="s">
        <v>85</v>
      </c>
      <c r="I23" s="24" t="s">
        <v>86</v>
      </c>
      <c r="J23" s="24" t="s">
        <v>87</v>
      </c>
      <c r="K23" s="4" t="s">
        <v>201</v>
      </c>
      <c r="L23" t="str">
        <f t="shared" si="0"/>
        <v>ILW4</v>
      </c>
      <c r="M23" s="4" t="str">
        <f t="shared" si="3"/>
        <v>WEDNESDAY</v>
      </c>
      <c r="N23" s="4" t="str">
        <f t="shared" si="4"/>
        <v>12:00-01:00</v>
      </c>
      <c r="O23" t="str">
        <f t="shared" si="5"/>
        <v>BA209</v>
      </c>
      <c r="P23" t="str">
        <f t="shared" si="6"/>
        <v>Dr. I. Loknandha reddy</v>
      </c>
    </row>
    <row r="24" spans="1:16" x14ac:dyDescent="0.3">
      <c r="A24" s="4">
        <v>2</v>
      </c>
      <c r="B24" s="4" t="s">
        <v>139</v>
      </c>
      <c r="C24" s="4" t="s">
        <v>5</v>
      </c>
      <c r="D24" s="4" t="s">
        <v>152</v>
      </c>
      <c r="E24" s="4" t="str">
        <f t="shared" si="1"/>
        <v>W</v>
      </c>
      <c r="F24" s="4">
        <v>5</v>
      </c>
      <c r="G24" s="4" t="str">
        <f t="shared" si="2"/>
        <v>W5</v>
      </c>
      <c r="H24" s="4" t="s">
        <v>94</v>
      </c>
      <c r="I24" s="4" t="s">
        <v>95</v>
      </c>
      <c r="J24" s="4" t="s">
        <v>95</v>
      </c>
      <c r="K24" s="4" t="s">
        <v>95</v>
      </c>
      <c r="L24" t="str">
        <f t="shared" si="0"/>
        <v>NAW5</v>
      </c>
      <c r="M24" s="4" t="str">
        <f t="shared" si="3"/>
        <v>WEDNESDAY</v>
      </c>
      <c r="N24" s="4" t="str">
        <f t="shared" si="4"/>
        <v>01:00-02:00</v>
      </c>
      <c r="O24" t="str">
        <f t="shared" si="5"/>
        <v>LUNCH</v>
      </c>
      <c r="P24" t="str">
        <f t="shared" si="6"/>
        <v>NA</v>
      </c>
    </row>
    <row r="25" spans="1:16" x14ac:dyDescent="0.3">
      <c r="A25" s="4">
        <v>2</v>
      </c>
      <c r="B25" s="4" t="s">
        <v>139</v>
      </c>
      <c r="C25" s="4" t="s">
        <v>5</v>
      </c>
      <c r="D25" s="4" t="s">
        <v>22</v>
      </c>
      <c r="E25" s="4" t="str">
        <f t="shared" si="1"/>
        <v>W</v>
      </c>
      <c r="F25" s="4">
        <v>6</v>
      </c>
      <c r="G25" s="4" t="str">
        <f t="shared" si="2"/>
        <v>W6</v>
      </c>
      <c r="H25" s="4" t="s">
        <v>63</v>
      </c>
      <c r="I25" s="24" t="s">
        <v>153</v>
      </c>
      <c r="J25" s="24" t="s">
        <v>65</v>
      </c>
      <c r="K25" s="4" t="s">
        <v>200</v>
      </c>
      <c r="L25" t="str">
        <f t="shared" si="0"/>
        <v>RKW6</v>
      </c>
      <c r="M25" s="4" t="str">
        <f t="shared" si="3"/>
        <v>WEDNESDAY</v>
      </c>
      <c r="N25" s="4" t="str">
        <f t="shared" si="4"/>
        <v>02:00-03:00</v>
      </c>
      <c r="O25" t="str">
        <f t="shared" si="5"/>
        <v>BA201</v>
      </c>
      <c r="P25" t="str">
        <f t="shared" si="6"/>
        <v>Raghavendra Kushawaha</v>
      </c>
    </row>
    <row r="26" spans="1:16" x14ac:dyDescent="0.3">
      <c r="A26" s="4">
        <v>2</v>
      </c>
      <c r="B26" s="4" t="s">
        <v>139</v>
      </c>
      <c r="C26" s="4" t="s">
        <v>5</v>
      </c>
      <c r="D26" s="4" t="s">
        <v>25</v>
      </c>
      <c r="E26" s="4" t="str">
        <f t="shared" si="1"/>
        <v>W</v>
      </c>
      <c r="F26" s="4">
        <v>7</v>
      </c>
      <c r="G26" s="4" t="str">
        <f t="shared" si="2"/>
        <v>W7</v>
      </c>
      <c r="H26" s="4" t="s">
        <v>63</v>
      </c>
      <c r="I26" s="24" t="s">
        <v>153</v>
      </c>
      <c r="J26" s="24" t="s">
        <v>65</v>
      </c>
      <c r="K26" s="4" t="s">
        <v>200</v>
      </c>
      <c r="L26" t="str">
        <f t="shared" si="0"/>
        <v>RKW7</v>
      </c>
      <c r="M26" s="4" t="str">
        <f t="shared" si="3"/>
        <v>WEDNESDAY</v>
      </c>
      <c r="N26" s="4" t="str">
        <f t="shared" si="4"/>
        <v>03:00-04:00</v>
      </c>
      <c r="O26" t="str">
        <f t="shared" si="5"/>
        <v>BA201</v>
      </c>
      <c r="P26" t="str">
        <f t="shared" si="6"/>
        <v>Raghavendra Kushawaha</v>
      </c>
    </row>
    <row r="27" spans="1:16" x14ac:dyDescent="0.3">
      <c r="A27" s="4">
        <v>2</v>
      </c>
      <c r="B27" s="4" t="s">
        <v>139</v>
      </c>
      <c r="C27" s="4" t="s">
        <v>5</v>
      </c>
      <c r="D27" s="4" t="s">
        <v>26</v>
      </c>
      <c r="E27" s="4" t="str">
        <f t="shared" si="1"/>
        <v>W</v>
      </c>
      <c r="F27" s="4">
        <v>8</v>
      </c>
      <c r="G27" s="4" t="str">
        <f t="shared" si="2"/>
        <v>W8</v>
      </c>
      <c r="H27" s="4" t="s">
        <v>96</v>
      </c>
      <c r="I27" s="4" t="s">
        <v>95</v>
      </c>
      <c r="J27" s="4" t="s">
        <v>95</v>
      </c>
      <c r="K27" s="4" t="s">
        <v>95</v>
      </c>
      <c r="L27" t="str">
        <f t="shared" si="0"/>
        <v>NAW8</v>
      </c>
      <c r="M27" s="4" t="str">
        <f t="shared" si="3"/>
        <v>WEDNESDAY</v>
      </c>
      <c r="N27" s="4" t="str">
        <f t="shared" si="4"/>
        <v>04:00-05:00</v>
      </c>
      <c r="O27" t="str">
        <f t="shared" si="5"/>
        <v>LEISURE</v>
      </c>
      <c r="P27" t="str">
        <f t="shared" si="6"/>
        <v>NA</v>
      </c>
    </row>
    <row r="28" spans="1:16" x14ac:dyDescent="0.3">
      <c r="A28" s="4">
        <v>2</v>
      </c>
      <c r="B28" s="4" t="s">
        <v>139</v>
      </c>
      <c r="C28" s="4" t="s">
        <v>5</v>
      </c>
      <c r="D28" s="4" t="s">
        <v>29</v>
      </c>
      <c r="E28" s="4" t="str">
        <f t="shared" si="1"/>
        <v>W</v>
      </c>
      <c r="F28" s="4">
        <v>9</v>
      </c>
      <c r="G28" s="4" t="str">
        <f t="shared" si="2"/>
        <v>W9</v>
      </c>
      <c r="H28" s="4" t="s">
        <v>96</v>
      </c>
      <c r="I28" s="4" t="s">
        <v>95</v>
      </c>
      <c r="J28" s="4" t="s">
        <v>95</v>
      </c>
      <c r="K28" s="4" t="s">
        <v>95</v>
      </c>
      <c r="L28" t="str">
        <f t="shared" si="0"/>
        <v>NAW9</v>
      </c>
      <c r="M28" s="4" t="str">
        <f t="shared" si="3"/>
        <v>WEDNESDAY</v>
      </c>
      <c r="N28" s="4" t="str">
        <f t="shared" si="4"/>
        <v>05:00-06:00</v>
      </c>
      <c r="O28" t="str">
        <f t="shared" si="5"/>
        <v>LEISURE</v>
      </c>
      <c r="P28" t="str">
        <f t="shared" si="6"/>
        <v>NA</v>
      </c>
    </row>
    <row r="29" spans="1:16" x14ac:dyDescent="0.3">
      <c r="A29" s="4">
        <v>2</v>
      </c>
      <c r="B29" s="4" t="s">
        <v>139</v>
      </c>
      <c r="C29" s="4" t="s">
        <v>6</v>
      </c>
      <c r="D29" s="4" t="s">
        <v>9</v>
      </c>
      <c r="E29" s="4" t="str">
        <f t="shared" si="1"/>
        <v>TH</v>
      </c>
      <c r="F29" s="4">
        <v>1</v>
      </c>
      <c r="G29" s="4" t="str">
        <f t="shared" si="2"/>
        <v>TH1</v>
      </c>
      <c r="H29" s="4" t="s">
        <v>68</v>
      </c>
      <c r="I29" s="23" t="s">
        <v>69</v>
      </c>
      <c r="J29" s="23" t="s">
        <v>70</v>
      </c>
      <c r="K29" s="4" t="s">
        <v>212</v>
      </c>
      <c r="L29" t="str">
        <f t="shared" si="0"/>
        <v>PK TH1</v>
      </c>
      <c r="M29" s="4" t="str">
        <f t="shared" si="3"/>
        <v>THURSDAY</v>
      </c>
      <c r="N29" s="4" t="str">
        <f t="shared" si="4"/>
        <v>09:00-10:00</v>
      </c>
      <c r="O29" t="str">
        <f t="shared" si="5"/>
        <v>BA203</v>
      </c>
      <c r="P29" t="str">
        <f t="shared" si="6"/>
        <v>Dr. Pramod Kumar Mishra</v>
      </c>
    </row>
    <row r="30" spans="1:16" x14ac:dyDescent="0.3">
      <c r="A30" s="4">
        <v>2</v>
      </c>
      <c r="B30" s="4" t="s">
        <v>139</v>
      </c>
      <c r="C30" s="4" t="s">
        <v>6</v>
      </c>
      <c r="D30" s="4" t="s">
        <v>13</v>
      </c>
      <c r="E30" s="4" t="str">
        <f t="shared" si="1"/>
        <v>TH</v>
      </c>
      <c r="F30" s="4">
        <v>2</v>
      </c>
      <c r="G30" s="4" t="str">
        <f t="shared" si="2"/>
        <v>TH2</v>
      </c>
      <c r="H30" s="4" t="s">
        <v>68</v>
      </c>
      <c r="I30" s="23" t="s">
        <v>69</v>
      </c>
      <c r="J30" s="23" t="s">
        <v>70</v>
      </c>
      <c r="K30" s="4" t="s">
        <v>204</v>
      </c>
      <c r="L30" t="str">
        <f t="shared" si="0"/>
        <v>PKTH2</v>
      </c>
      <c r="M30" s="4" t="str">
        <f t="shared" si="3"/>
        <v>THURSDAY</v>
      </c>
      <c r="N30" s="4" t="str">
        <f t="shared" si="4"/>
        <v>10:00-11:00</v>
      </c>
      <c r="O30" t="str">
        <f t="shared" si="5"/>
        <v>BA203</v>
      </c>
      <c r="P30" t="str">
        <f t="shared" si="6"/>
        <v>Dr. Pramod Kumar Mishra</v>
      </c>
    </row>
    <row r="31" spans="1:16" x14ac:dyDescent="0.3">
      <c r="A31" s="4">
        <v>2</v>
      </c>
      <c r="B31" s="4" t="s">
        <v>139</v>
      </c>
      <c r="C31" s="4" t="s">
        <v>6</v>
      </c>
      <c r="D31" s="4" t="s">
        <v>15</v>
      </c>
      <c r="E31" s="4" t="str">
        <f t="shared" si="1"/>
        <v>TH</v>
      </c>
      <c r="F31" s="4">
        <v>3</v>
      </c>
      <c r="G31" s="4" t="str">
        <f t="shared" si="2"/>
        <v>TH3</v>
      </c>
      <c r="H31" s="4" t="s">
        <v>85</v>
      </c>
      <c r="I31" s="24" t="s">
        <v>86</v>
      </c>
      <c r="J31" s="24" t="s">
        <v>87</v>
      </c>
      <c r="K31" s="4" t="s">
        <v>201</v>
      </c>
      <c r="L31" t="str">
        <f t="shared" si="0"/>
        <v>ILTH3</v>
      </c>
      <c r="M31" s="4" t="str">
        <f t="shared" si="3"/>
        <v>THURSDAY</v>
      </c>
      <c r="N31" s="4" t="str">
        <f t="shared" si="4"/>
        <v>11:00-12:00</v>
      </c>
      <c r="O31" t="str">
        <f t="shared" si="5"/>
        <v>BA209</v>
      </c>
      <c r="P31" t="str">
        <f t="shared" si="6"/>
        <v>Dr. I. Loknandha reddy</v>
      </c>
    </row>
    <row r="32" spans="1:16" x14ac:dyDescent="0.3">
      <c r="A32" s="4">
        <v>2</v>
      </c>
      <c r="B32" s="4" t="s">
        <v>139</v>
      </c>
      <c r="C32" s="4" t="s">
        <v>6</v>
      </c>
      <c r="D32" s="4" t="s">
        <v>19</v>
      </c>
      <c r="E32" s="4" t="str">
        <f t="shared" si="1"/>
        <v>TH</v>
      </c>
      <c r="F32" s="4">
        <v>4</v>
      </c>
      <c r="G32" s="4" t="str">
        <f t="shared" si="2"/>
        <v>TH4</v>
      </c>
      <c r="H32" s="4" t="s">
        <v>85</v>
      </c>
      <c r="I32" s="24" t="s">
        <v>86</v>
      </c>
      <c r="J32" s="24" t="s">
        <v>87</v>
      </c>
      <c r="K32" s="4" t="s">
        <v>201</v>
      </c>
      <c r="L32" t="str">
        <f t="shared" si="0"/>
        <v>ILTH4</v>
      </c>
      <c r="M32" s="4" t="str">
        <f t="shared" si="3"/>
        <v>THURSDAY</v>
      </c>
      <c r="N32" s="4" t="str">
        <f t="shared" si="4"/>
        <v>12:00-01:00</v>
      </c>
      <c r="O32" t="str">
        <f t="shared" si="5"/>
        <v>BA209</v>
      </c>
      <c r="P32" t="str">
        <f t="shared" si="6"/>
        <v>Dr. I. Loknandha reddy</v>
      </c>
    </row>
    <row r="33" spans="1:16" x14ac:dyDescent="0.3">
      <c r="A33" s="4">
        <v>2</v>
      </c>
      <c r="B33" s="4" t="s">
        <v>139</v>
      </c>
      <c r="C33" s="4" t="s">
        <v>6</v>
      </c>
      <c r="D33" s="4" t="s">
        <v>152</v>
      </c>
      <c r="E33" s="4" t="str">
        <f t="shared" si="1"/>
        <v>TH</v>
      </c>
      <c r="F33" s="4">
        <v>5</v>
      </c>
      <c r="G33" s="4" t="str">
        <f t="shared" si="2"/>
        <v>TH5</v>
      </c>
      <c r="H33" s="4" t="s">
        <v>94</v>
      </c>
      <c r="I33" s="4" t="s">
        <v>95</v>
      </c>
      <c r="J33" s="4" t="s">
        <v>95</v>
      </c>
      <c r="K33" s="4" t="s">
        <v>95</v>
      </c>
      <c r="L33" t="str">
        <f t="shared" si="0"/>
        <v>NATH5</v>
      </c>
      <c r="M33" s="4" t="str">
        <f t="shared" si="3"/>
        <v>THURSDAY</v>
      </c>
      <c r="N33" s="4" t="str">
        <f t="shared" si="4"/>
        <v>01:00-02:00</v>
      </c>
      <c r="O33" t="str">
        <f t="shared" si="5"/>
        <v>LUNCH</v>
      </c>
      <c r="P33" t="str">
        <f t="shared" si="6"/>
        <v>NA</v>
      </c>
    </row>
    <row r="34" spans="1:16" x14ac:dyDescent="0.3">
      <c r="A34" s="4">
        <v>2</v>
      </c>
      <c r="B34" s="4" t="s">
        <v>139</v>
      </c>
      <c r="C34" s="4" t="s">
        <v>6</v>
      </c>
      <c r="D34" s="4" t="s">
        <v>22</v>
      </c>
      <c r="E34" s="4" t="str">
        <f t="shared" si="1"/>
        <v>TH</v>
      </c>
      <c r="F34" s="4">
        <v>6</v>
      </c>
      <c r="G34" s="4" t="str">
        <f t="shared" si="2"/>
        <v>TH6</v>
      </c>
      <c r="H34" s="4" t="s">
        <v>77</v>
      </c>
      <c r="I34" s="4" t="s">
        <v>154</v>
      </c>
      <c r="J34" s="24" t="s">
        <v>81</v>
      </c>
      <c r="K34" s="4" t="s">
        <v>196</v>
      </c>
      <c r="L34" t="str">
        <f t="shared" si="0"/>
        <v>BCTH6</v>
      </c>
      <c r="M34" s="4" t="str">
        <f t="shared" si="3"/>
        <v>THURSDAY</v>
      </c>
      <c r="N34" s="4" t="str">
        <f t="shared" si="4"/>
        <v>02:00-03:00</v>
      </c>
      <c r="O34" t="str">
        <f t="shared" si="5"/>
        <v>BA206</v>
      </c>
      <c r="P34" t="str">
        <f t="shared" si="6"/>
        <v>Brigadier Chandrashekhar</v>
      </c>
    </row>
    <row r="35" spans="1:16" x14ac:dyDescent="0.3">
      <c r="A35" s="4">
        <v>2</v>
      </c>
      <c r="B35" s="4" t="s">
        <v>139</v>
      </c>
      <c r="C35" s="4" t="s">
        <v>6</v>
      </c>
      <c r="D35" s="4" t="s">
        <v>25</v>
      </c>
      <c r="E35" s="4" t="str">
        <f t="shared" si="1"/>
        <v>TH</v>
      </c>
      <c r="F35" s="4">
        <v>7</v>
      </c>
      <c r="G35" s="4" t="str">
        <f t="shared" si="2"/>
        <v>TH7</v>
      </c>
      <c r="H35" s="4" t="s">
        <v>77</v>
      </c>
      <c r="I35" s="4" t="s">
        <v>154</v>
      </c>
      <c r="J35" s="24" t="s">
        <v>81</v>
      </c>
      <c r="K35" s="4" t="s">
        <v>196</v>
      </c>
      <c r="L35" t="str">
        <f t="shared" si="0"/>
        <v>BCTH7</v>
      </c>
      <c r="M35" s="4" t="str">
        <f t="shared" si="3"/>
        <v>THURSDAY</v>
      </c>
      <c r="N35" s="4" t="str">
        <f t="shared" si="4"/>
        <v>03:00-04:00</v>
      </c>
      <c r="O35" t="str">
        <f t="shared" si="5"/>
        <v>BA206</v>
      </c>
      <c r="P35" t="str">
        <f t="shared" si="6"/>
        <v>Brigadier Chandrashekhar</v>
      </c>
    </row>
    <row r="36" spans="1:16" x14ac:dyDescent="0.3">
      <c r="A36" s="4">
        <v>2</v>
      </c>
      <c r="B36" s="4" t="s">
        <v>139</v>
      </c>
      <c r="C36" s="4" t="s">
        <v>6</v>
      </c>
      <c r="D36" s="4" t="s">
        <v>26</v>
      </c>
      <c r="E36" s="4" t="str">
        <f t="shared" si="1"/>
        <v>TH</v>
      </c>
      <c r="F36" s="4">
        <v>8</v>
      </c>
      <c r="G36" s="4" t="str">
        <f t="shared" si="2"/>
        <v>TH8</v>
      </c>
      <c r="H36" s="4" t="s">
        <v>96</v>
      </c>
      <c r="I36" s="4" t="s">
        <v>95</v>
      </c>
      <c r="J36" s="4" t="s">
        <v>95</v>
      </c>
      <c r="K36" s="4" t="s">
        <v>95</v>
      </c>
      <c r="L36" t="str">
        <f t="shared" si="0"/>
        <v>NATH8</v>
      </c>
      <c r="M36" s="4" t="str">
        <f t="shared" si="3"/>
        <v>THURSDAY</v>
      </c>
      <c r="N36" s="4" t="str">
        <f t="shared" si="4"/>
        <v>04:00-05:00</v>
      </c>
      <c r="O36" t="str">
        <f t="shared" si="5"/>
        <v>LEISURE</v>
      </c>
      <c r="P36" t="str">
        <f t="shared" si="6"/>
        <v>NA</v>
      </c>
    </row>
    <row r="37" spans="1:16" x14ac:dyDescent="0.3">
      <c r="A37" s="4">
        <v>2</v>
      </c>
      <c r="B37" s="4" t="s">
        <v>139</v>
      </c>
      <c r="C37" s="4" t="s">
        <v>6</v>
      </c>
      <c r="D37" s="4" t="s">
        <v>29</v>
      </c>
      <c r="E37" s="4" t="str">
        <f t="shared" si="1"/>
        <v>TH</v>
      </c>
      <c r="F37" s="4">
        <v>9</v>
      </c>
      <c r="G37" s="4" t="str">
        <f t="shared" si="2"/>
        <v>TH9</v>
      </c>
      <c r="H37" s="4" t="s">
        <v>96</v>
      </c>
      <c r="I37" s="4" t="s">
        <v>95</v>
      </c>
      <c r="J37" s="4" t="s">
        <v>95</v>
      </c>
      <c r="K37" s="4" t="s">
        <v>95</v>
      </c>
      <c r="L37" t="str">
        <f t="shared" si="0"/>
        <v>NATH9</v>
      </c>
      <c r="M37" s="4" t="str">
        <f t="shared" si="3"/>
        <v>THURSDAY</v>
      </c>
      <c r="N37" s="4" t="str">
        <f t="shared" si="4"/>
        <v>05:00-06:00</v>
      </c>
      <c r="O37" t="str">
        <f t="shared" si="5"/>
        <v>LEISURE</v>
      </c>
      <c r="P37" t="str">
        <f t="shared" si="6"/>
        <v>NA</v>
      </c>
    </row>
    <row r="38" spans="1:16" x14ac:dyDescent="0.3">
      <c r="A38" s="4">
        <v>2</v>
      </c>
      <c r="B38" s="4" t="s">
        <v>139</v>
      </c>
      <c r="C38" s="4" t="s">
        <v>7</v>
      </c>
      <c r="D38" s="4" t="s">
        <v>9</v>
      </c>
      <c r="E38" s="4" t="str">
        <f t="shared" si="1"/>
        <v>F</v>
      </c>
      <c r="F38" s="4">
        <v>1</v>
      </c>
      <c r="G38" s="4" t="str">
        <f t="shared" si="2"/>
        <v>F1</v>
      </c>
      <c r="H38" s="4" t="s">
        <v>77</v>
      </c>
      <c r="I38" s="4" t="s">
        <v>154</v>
      </c>
      <c r="J38" s="24" t="s">
        <v>81</v>
      </c>
      <c r="K38" s="4" t="s">
        <v>196</v>
      </c>
      <c r="L38" t="str">
        <f t="shared" si="0"/>
        <v>BCF1</v>
      </c>
      <c r="M38" s="4" t="str">
        <f t="shared" si="3"/>
        <v>FRIDAY</v>
      </c>
      <c r="N38" s="4" t="str">
        <f t="shared" si="4"/>
        <v>09:00-10:00</v>
      </c>
      <c r="O38" t="str">
        <f t="shared" si="5"/>
        <v>BA206</v>
      </c>
      <c r="P38" t="str">
        <f t="shared" si="6"/>
        <v>Brigadier Chandrashekhar</v>
      </c>
    </row>
    <row r="39" spans="1:16" x14ac:dyDescent="0.3">
      <c r="A39" s="4">
        <v>2</v>
      </c>
      <c r="B39" s="4" t="s">
        <v>139</v>
      </c>
      <c r="C39" s="4" t="s">
        <v>7</v>
      </c>
      <c r="D39" s="4" t="s">
        <v>13</v>
      </c>
      <c r="E39" s="4" t="str">
        <f t="shared" si="1"/>
        <v>F</v>
      </c>
      <c r="F39" s="4">
        <v>2</v>
      </c>
      <c r="G39" s="4" t="str">
        <f t="shared" si="2"/>
        <v>F2</v>
      </c>
      <c r="H39" s="4" t="s">
        <v>77</v>
      </c>
      <c r="I39" s="4" t="s">
        <v>154</v>
      </c>
      <c r="J39" s="24" t="s">
        <v>81</v>
      </c>
      <c r="K39" s="4" t="s">
        <v>196</v>
      </c>
      <c r="L39" t="str">
        <f t="shared" si="0"/>
        <v>BCF2</v>
      </c>
      <c r="M39" s="4" t="str">
        <f t="shared" si="3"/>
        <v>FRIDAY</v>
      </c>
      <c r="N39" s="4" t="str">
        <f t="shared" si="4"/>
        <v>10:00-11:00</v>
      </c>
      <c r="O39" t="str">
        <f t="shared" si="5"/>
        <v>BA206</v>
      </c>
      <c r="P39" t="str">
        <f t="shared" si="6"/>
        <v>Brigadier Chandrashekhar</v>
      </c>
    </row>
    <row r="40" spans="1:16" x14ac:dyDescent="0.3">
      <c r="A40" s="4">
        <v>2</v>
      </c>
      <c r="B40" s="4" t="s">
        <v>139</v>
      </c>
      <c r="C40" s="4" t="s">
        <v>7</v>
      </c>
      <c r="D40" s="4" t="s">
        <v>15</v>
      </c>
      <c r="E40" s="4" t="str">
        <f t="shared" si="1"/>
        <v>F</v>
      </c>
      <c r="F40" s="4">
        <v>3</v>
      </c>
      <c r="G40" s="4" t="str">
        <f t="shared" si="2"/>
        <v>F3</v>
      </c>
      <c r="H40" s="4" t="s">
        <v>66</v>
      </c>
      <c r="I40" s="24" t="s">
        <v>35</v>
      </c>
      <c r="J40" s="24" t="s">
        <v>67</v>
      </c>
      <c r="K40" s="4" t="s">
        <v>208</v>
      </c>
      <c r="L40" t="str">
        <f t="shared" si="0"/>
        <v>RPF3</v>
      </c>
      <c r="M40" s="4" t="str">
        <f t="shared" si="3"/>
        <v>FRIDAY</v>
      </c>
      <c r="N40" s="4" t="str">
        <f t="shared" si="4"/>
        <v>11:00-12:00</v>
      </c>
      <c r="O40" t="str">
        <f t="shared" si="5"/>
        <v>BA202</v>
      </c>
      <c r="P40" t="str">
        <f t="shared" si="6"/>
        <v xml:space="preserve">Dr. R. Prasanth Kumar </v>
      </c>
    </row>
    <row r="41" spans="1:16" x14ac:dyDescent="0.3">
      <c r="A41" s="4">
        <v>2</v>
      </c>
      <c r="B41" s="4" t="s">
        <v>139</v>
      </c>
      <c r="C41" s="4" t="s">
        <v>7</v>
      </c>
      <c r="D41" s="4" t="s">
        <v>19</v>
      </c>
      <c r="E41" s="4" t="str">
        <f t="shared" si="1"/>
        <v>F</v>
      </c>
      <c r="F41" s="4">
        <v>4</v>
      </c>
      <c r="G41" s="4" t="str">
        <f t="shared" si="2"/>
        <v>F4</v>
      </c>
      <c r="H41" s="4" t="s">
        <v>66</v>
      </c>
      <c r="I41" s="24" t="s">
        <v>35</v>
      </c>
      <c r="J41" s="24" t="s">
        <v>67</v>
      </c>
      <c r="K41" s="4" t="s">
        <v>208</v>
      </c>
      <c r="L41" t="str">
        <f t="shared" si="0"/>
        <v>RPF4</v>
      </c>
      <c r="M41" s="4" t="str">
        <f t="shared" si="3"/>
        <v>FRIDAY</v>
      </c>
      <c r="N41" s="4" t="str">
        <f t="shared" si="4"/>
        <v>12:00-01:00</v>
      </c>
      <c r="O41" t="str">
        <f t="shared" si="5"/>
        <v>BA202</v>
      </c>
      <c r="P41" t="str">
        <f t="shared" si="6"/>
        <v xml:space="preserve">Dr. R. Prasanth Kumar </v>
      </c>
    </row>
    <row r="42" spans="1:16" x14ac:dyDescent="0.3">
      <c r="A42" s="4">
        <v>2</v>
      </c>
      <c r="B42" s="4" t="s">
        <v>139</v>
      </c>
      <c r="C42" s="4" t="s">
        <v>7</v>
      </c>
      <c r="D42" s="4" t="s">
        <v>152</v>
      </c>
      <c r="E42" s="4" t="str">
        <f t="shared" si="1"/>
        <v>F</v>
      </c>
      <c r="F42" s="4">
        <v>5</v>
      </c>
      <c r="G42" s="4" t="str">
        <f t="shared" si="2"/>
        <v>F5</v>
      </c>
      <c r="H42" s="4" t="s">
        <v>94</v>
      </c>
      <c r="I42" s="4" t="s">
        <v>95</v>
      </c>
      <c r="J42" s="4" t="s">
        <v>95</v>
      </c>
      <c r="K42" s="4" t="s">
        <v>95</v>
      </c>
      <c r="L42" t="str">
        <f t="shared" si="0"/>
        <v>NAF5</v>
      </c>
      <c r="M42" s="4" t="str">
        <f t="shared" si="3"/>
        <v>FRIDAY</v>
      </c>
      <c r="N42" s="4" t="str">
        <f t="shared" si="4"/>
        <v>01:00-02:00</v>
      </c>
      <c r="O42" t="str">
        <f t="shared" si="5"/>
        <v>LUNCH</v>
      </c>
      <c r="P42" t="str">
        <f t="shared" si="6"/>
        <v>NA</v>
      </c>
    </row>
    <row r="43" spans="1:16" x14ac:dyDescent="0.3">
      <c r="A43" s="4">
        <v>2</v>
      </c>
      <c r="B43" s="4" t="s">
        <v>139</v>
      </c>
      <c r="C43" s="4" t="s">
        <v>7</v>
      </c>
      <c r="D43" s="4" t="s">
        <v>22</v>
      </c>
      <c r="E43" s="4" t="str">
        <f t="shared" si="1"/>
        <v>F</v>
      </c>
      <c r="F43" s="4">
        <v>6</v>
      </c>
      <c r="G43" s="4" t="str">
        <f t="shared" si="2"/>
        <v>F6</v>
      </c>
      <c r="H43" s="4" t="s">
        <v>79</v>
      </c>
      <c r="I43" s="4" t="s">
        <v>155</v>
      </c>
      <c r="J43" s="24" t="s">
        <v>81</v>
      </c>
      <c r="K43" s="15" t="s">
        <v>196</v>
      </c>
      <c r="L43" t="str">
        <f t="shared" si="0"/>
        <v>BCF6</v>
      </c>
      <c r="M43" s="4" t="str">
        <f t="shared" si="3"/>
        <v>FRIDAY</v>
      </c>
      <c r="N43" s="4" t="str">
        <f t="shared" si="4"/>
        <v>02:00-03:00</v>
      </c>
      <c r="O43" t="str">
        <f t="shared" si="5"/>
        <v>BA207</v>
      </c>
      <c r="P43" t="str">
        <f t="shared" si="6"/>
        <v>Brigadier Chandrashekhar</v>
      </c>
    </row>
    <row r="44" spans="1:16" x14ac:dyDescent="0.3">
      <c r="A44" s="4">
        <v>2</v>
      </c>
      <c r="B44" s="4" t="s">
        <v>139</v>
      </c>
      <c r="C44" s="4" t="s">
        <v>7</v>
      </c>
      <c r="D44" s="4" t="s">
        <v>25</v>
      </c>
      <c r="E44" s="4" t="str">
        <f t="shared" si="1"/>
        <v>F</v>
      </c>
      <c r="F44" s="4">
        <v>7</v>
      </c>
      <c r="G44" s="4" t="str">
        <f t="shared" si="2"/>
        <v>F7</v>
      </c>
      <c r="H44" s="4" t="s">
        <v>79</v>
      </c>
      <c r="I44" s="4" t="s">
        <v>155</v>
      </c>
      <c r="J44" s="24" t="s">
        <v>81</v>
      </c>
      <c r="K44" s="4" t="s">
        <v>196</v>
      </c>
      <c r="L44" t="str">
        <f t="shared" si="0"/>
        <v>BCF7</v>
      </c>
      <c r="M44" s="4" t="str">
        <f t="shared" si="3"/>
        <v>FRIDAY</v>
      </c>
      <c r="N44" s="4" t="str">
        <f t="shared" si="4"/>
        <v>03:00-04:00</v>
      </c>
      <c r="O44" t="str">
        <f t="shared" si="5"/>
        <v>BA207</v>
      </c>
      <c r="P44" t="str">
        <f t="shared" si="6"/>
        <v>Brigadier Chandrashekhar</v>
      </c>
    </row>
    <row r="45" spans="1:16" x14ac:dyDescent="0.3">
      <c r="A45" s="4">
        <v>2</v>
      </c>
      <c r="B45" s="4" t="s">
        <v>139</v>
      </c>
      <c r="C45" s="4" t="s">
        <v>7</v>
      </c>
      <c r="D45" s="4" t="s">
        <v>26</v>
      </c>
      <c r="E45" s="4" t="str">
        <f t="shared" si="1"/>
        <v>F</v>
      </c>
      <c r="F45" s="4">
        <v>8</v>
      </c>
      <c r="G45" s="4" t="str">
        <f t="shared" si="2"/>
        <v>F8</v>
      </c>
      <c r="H45" s="4" t="s">
        <v>96</v>
      </c>
      <c r="I45" s="4" t="s">
        <v>95</v>
      </c>
      <c r="J45" s="4" t="s">
        <v>95</v>
      </c>
      <c r="K45" s="4" t="s">
        <v>95</v>
      </c>
      <c r="L45" t="str">
        <f t="shared" si="0"/>
        <v>NAF8</v>
      </c>
      <c r="M45" s="4" t="str">
        <f t="shared" si="3"/>
        <v>FRIDAY</v>
      </c>
      <c r="N45" s="4" t="str">
        <f t="shared" si="4"/>
        <v>04:00-05:00</v>
      </c>
      <c r="O45" t="str">
        <f t="shared" si="5"/>
        <v>LEISURE</v>
      </c>
      <c r="P45" t="str">
        <f t="shared" si="6"/>
        <v>NA</v>
      </c>
    </row>
    <row r="46" spans="1:16" x14ac:dyDescent="0.3">
      <c r="A46" s="4">
        <v>2</v>
      </c>
      <c r="B46" s="4" t="s">
        <v>139</v>
      </c>
      <c r="C46" s="4" t="s">
        <v>7</v>
      </c>
      <c r="D46" s="4" t="s">
        <v>29</v>
      </c>
      <c r="E46" s="4" t="str">
        <f t="shared" si="1"/>
        <v>F</v>
      </c>
      <c r="F46" s="4">
        <v>9</v>
      </c>
      <c r="G46" s="4" t="str">
        <f t="shared" si="2"/>
        <v>F9</v>
      </c>
      <c r="H46" s="4" t="s">
        <v>96</v>
      </c>
      <c r="I46" s="4" t="s">
        <v>95</v>
      </c>
      <c r="J46" s="4" t="s">
        <v>95</v>
      </c>
      <c r="K46" s="4" t="s">
        <v>95</v>
      </c>
      <c r="L46" t="str">
        <f t="shared" si="0"/>
        <v>NAF9</v>
      </c>
      <c r="M46" s="4" t="str">
        <f t="shared" si="3"/>
        <v>FRIDAY</v>
      </c>
      <c r="N46" s="4" t="str">
        <f t="shared" si="4"/>
        <v>05:00-06:00</v>
      </c>
      <c r="O46" t="str">
        <f t="shared" si="5"/>
        <v>LEISURE</v>
      </c>
      <c r="P46" t="str">
        <f t="shared" si="6"/>
        <v>NA</v>
      </c>
    </row>
    <row r="47" spans="1:16" x14ac:dyDescent="0.3">
      <c r="A47" s="4">
        <v>2</v>
      </c>
      <c r="B47" s="4" t="s">
        <v>139</v>
      </c>
      <c r="C47" s="4" t="s">
        <v>8</v>
      </c>
      <c r="D47" s="4" t="s">
        <v>9</v>
      </c>
      <c r="E47" s="4" t="str">
        <f t="shared" si="1"/>
        <v>S</v>
      </c>
      <c r="F47" s="4">
        <v>1</v>
      </c>
      <c r="G47" s="4" t="str">
        <f t="shared" si="2"/>
        <v>S1</v>
      </c>
      <c r="H47" s="4" t="s">
        <v>79</v>
      </c>
      <c r="I47" s="4" t="s">
        <v>155</v>
      </c>
      <c r="J47" s="24" t="s">
        <v>81</v>
      </c>
      <c r="K47" s="4" t="s">
        <v>196</v>
      </c>
      <c r="L47" t="str">
        <f t="shared" si="0"/>
        <v>BCS1</v>
      </c>
      <c r="M47" s="4" t="str">
        <f t="shared" si="3"/>
        <v>SATURDAY</v>
      </c>
      <c r="N47" s="4" t="str">
        <f t="shared" si="4"/>
        <v>09:00-10:00</v>
      </c>
      <c r="O47" t="str">
        <f t="shared" si="5"/>
        <v>BA207</v>
      </c>
      <c r="P47" t="str">
        <f t="shared" si="6"/>
        <v>Brigadier Chandrashekhar</v>
      </c>
    </row>
    <row r="48" spans="1:16" x14ac:dyDescent="0.3">
      <c r="A48" s="4">
        <v>2</v>
      </c>
      <c r="B48" s="4" t="s">
        <v>139</v>
      </c>
      <c r="C48" s="4" t="s">
        <v>8</v>
      </c>
      <c r="D48" s="4" t="s">
        <v>13</v>
      </c>
      <c r="E48" s="4" t="str">
        <f t="shared" si="1"/>
        <v>S</v>
      </c>
      <c r="F48" s="4">
        <v>2</v>
      </c>
      <c r="G48" s="4" t="str">
        <f t="shared" si="2"/>
        <v>S2</v>
      </c>
      <c r="H48" s="4" t="s">
        <v>79</v>
      </c>
      <c r="I48" s="4" t="s">
        <v>155</v>
      </c>
      <c r="J48" s="24" t="s">
        <v>81</v>
      </c>
      <c r="K48" s="4" t="s">
        <v>196</v>
      </c>
      <c r="L48" t="str">
        <f t="shared" si="0"/>
        <v>BCS2</v>
      </c>
      <c r="M48" s="4" t="str">
        <f t="shared" si="3"/>
        <v>SATURDAY</v>
      </c>
      <c r="N48" s="4" t="str">
        <f t="shared" si="4"/>
        <v>10:00-11:00</v>
      </c>
      <c r="O48" t="str">
        <f t="shared" si="5"/>
        <v>BA207</v>
      </c>
      <c r="P48" t="str">
        <f t="shared" si="6"/>
        <v>Brigadier Chandrashekhar</v>
      </c>
    </row>
    <row r="49" spans="1:16" x14ac:dyDescent="0.3">
      <c r="A49" s="4">
        <v>2</v>
      </c>
      <c r="B49" s="4" t="s">
        <v>139</v>
      </c>
      <c r="C49" s="4" t="s">
        <v>8</v>
      </c>
      <c r="D49" s="4" t="s">
        <v>15</v>
      </c>
      <c r="E49" s="4" t="str">
        <f t="shared" si="1"/>
        <v>S</v>
      </c>
      <c r="F49" s="4">
        <v>3</v>
      </c>
      <c r="G49" s="4" t="str">
        <f t="shared" si="2"/>
        <v>S3</v>
      </c>
      <c r="H49" s="4" t="s">
        <v>63</v>
      </c>
      <c r="I49" s="24" t="s">
        <v>153</v>
      </c>
      <c r="J49" s="24" t="s">
        <v>65</v>
      </c>
      <c r="K49" s="4" t="s">
        <v>200</v>
      </c>
      <c r="L49" t="str">
        <f t="shared" si="0"/>
        <v>RKS3</v>
      </c>
      <c r="M49" s="4" t="str">
        <f t="shared" si="3"/>
        <v>SATURDAY</v>
      </c>
      <c r="N49" s="4" t="str">
        <f t="shared" si="4"/>
        <v>11:00-12:00</v>
      </c>
      <c r="O49" t="str">
        <f t="shared" si="5"/>
        <v>BA201</v>
      </c>
      <c r="P49" t="str">
        <f t="shared" si="6"/>
        <v>Raghavendra Kushawaha</v>
      </c>
    </row>
    <row r="50" spans="1:16" x14ac:dyDescent="0.3">
      <c r="A50" s="4">
        <v>2</v>
      </c>
      <c r="B50" s="4" t="s">
        <v>139</v>
      </c>
      <c r="C50" s="4" t="s">
        <v>8</v>
      </c>
      <c r="D50" s="4" t="s">
        <v>19</v>
      </c>
      <c r="E50" s="4" t="str">
        <f t="shared" si="1"/>
        <v>S</v>
      </c>
      <c r="F50" s="4">
        <v>4</v>
      </c>
      <c r="G50" s="4" t="str">
        <f t="shared" si="2"/>
        <v>S4</v>
      </c>
      <c r="H50" s="4" t="s">
        <v>63</v>
      </c>
      <c r="I50" s="24" t="s">
        <v>153</v>
      </c>
      <c r="J50" s="24" t="s">
        <v>65</v>
      </c>
      <c r="K50" s="4" t="s">
        <v>200</v>
      </c>
      <c r="L50" t="str">
        <f t="shared" si="0"/>
        <v>RKS4</v>
      </c>
      <c r="M50" s="4" t="str">
        <f t="shared" si="3"/>
        <v>SATURDAY</v>
      </c>
      <c r="N50" s="4" t="str">
        <f t="shared" si="4"/>
        <v>12:00-01:00</v>
      </c>
      <c r="O50" t="str">
        <f t="shared" si="5"/>
        <v>BA201</v>
      </c>
      <c r="P50" t="str">
        <f t="shared" si="6"/>
        <v>Raghavendra Kushawaha</v>
      </c>
    </row>
    <row r="51" spans="1:16" x14ac:dyDescent="0.3">
      <c r="A51" s="4">
        <v>2</v>
      </c>
      <c r="B51" s="4" t="s">
        <v>139</v>
      </c>
      <c r="C51" s="4" t="s">
        <v>8</v>
      </c>
      <c r="D51" s="4" t="s">
        <v>152</v>
      </c>
      <c r="E51" s="4" t="str">
        <f t="shared" si="1"/>
        <v>S</v>
      </c>
      <c r="F51" s="4">
        <v>5</v>
      </c>
      <c r="G51" s="4" t="str">
        <f t="shared" si="2"/>
        <v>S5</v>
      </c>
      <c r="H51" s="4" t="s">
        <v>94</v>
      </c>
      <c r="I51" s="4" t="s">
        <v>95</v>
      </c>
      <c r="J51" s="4" t="s">
        <v>95</v>
      </c>
      <c r="K51" s="4" t="s">
        <v>95</v>
      </c>
      <c r="L51" t="str">
        <f t="shared" si="0"/>
        <v>NAS5</v>
      </c>
      <c r="M51" s="4" t="str">
        <f t="shared" si="3"/>
        <v>SATURDAY</v>
      </c>
      <c r="N51" s="4" t="str">
        <f t="shared" si="4"/>
        <v>01:00-02:00</v>
      </c>
      <c r="O51" t="str">
        <f t="shared" si="5"/>
        <v>LUNCH</v>
      </c>
      <c r="P51" t="str">
        <f t="shared" si="6"/>
        <v>NA</v>
      </c>
    </row>
    <row r="52" spans="1:16" x14ac:dyDescent="0.3">
      <c r="A52" s="4">
        <v>2</v>
      </c>
      <c r="B52" s="4" t="s">
        <v>139</v>
      </c>
      <c r="C52" s="4" t="s">
        <v>8</v>
      </c>
      <c r="D52" s="4" t="s">
        <v>22</v>
      </c>
      <c r="E52" s="4" t="str">
        <f t="shared" si="1"/>
        <v>S</v>
      </c>
      <c r="F52" s="4">
        <v>6</v>
      </c>
      <c r="G52" s="4" t="str">
        <f t="shared" si="2"/>
        <v>S6</v>
      </c>
      <c r="H52" s="4" t="s">
        <v>82</v>
      </c>
      <c r="I52" s="4" t="s">
        <v>83</v>
      </c>
      <c r="J52" s="24" t="s">
        <v>156</v>
      </c>
      <c r="K52" s="4" t="s">
        <v>197</v>
      </c>
      <c r="L52" t="str">
        <f t="shared" si="0"/>
        <v>DJS6</v>
      </c>
      <c r="M52" s="4" t="str">
        <f t="shared" si="3"/>
        <v>SATURDAY</v>
      </c>
      <c r="N52" s="4" t="str">
        <f t="shared" si="4"/>
        <v>02:00-03:00</v>
      </c>
      <c r="O52" t="str">
        <f t="shared" si="5"/>
        <v>BA208</v>
      </c>
      <c r="P52" t="str">
        <f t="shared" si="6"/>
        <v>Daniel Jadi</v>
      </c>
    </row>
    <row r="53" spans="1:16" x14ac:dyDescent="0.3">
      <c r="A53" s="4">
        <v>2</v>
      </c>
      <c r="B53" s="4" t="s">
        <v>139</v>
      </c>
      <c r="C53" s="4" t="s">
        <v>8</v>
      </c>
      <c r="D53" s="4" t="s">
        <v>25</v>
      </c>
      <c r="E53" s="4" t="str">
        <f t="shared" si="1"/>
        <v>S</v>
      </c>
      <c r="F53" s="4">
        <v>7</v>
      </c>
      <c r="G53" s="4" t="str">
        <f t="shared" si="2"/>
        <v>S7</v>
      </c>
      <c r="H53" s="4" t="s">
        <v>82</v>
      </c>
      <c r="I53" s="4" t="s">
        <v>83</v>
      </c>
      <c r="J53" s="24" t="s">
        <v>156</v>
      </c>
      <c r="K53" s="4" t="s">
        <v>197</v>
      </c>
      <c r="L53" t="str">
        <f t="shared" si="0"/>
        <v>DJS7</v>
      </c>
      <c r="M53" s="4" t="str">
        <f t="shared" si="3"/>
        <v>SATURDAY</v>
      </c>
      <c r="N53" s="4" t="str">
        <f t="shared" si="4"/>
        <v>03:00-04:00</v>
      </c>
      <c r="O53" t="str">
        <f t="shared" si="5"/>
        <v>BA208</v>
      </c>
      <c r="P53" t="str">
        <f t="shared" si="6"/>
        <v>Daniel Jadi</v>
      </c>
    </row>
    <row r="54" spans="1:16" x14ac:dyDescent="0.3">
      <c r="A54" s="4">
        <v>2</v>
      </c>
      <c r="B54" s="4" t="s">
        <v>139</v>
      </c>
      <c r="C54" s="4" t="s">
        <v>8</v>
      </c>
      <c r="D54" s="4" t="s">
        <v>26</v>
      </c>
      <c r="E54" s="4" t="str">
        <f t="shared" si="1"/>
        <v>S</v>
      </c>
      <c r="F54" s="4">
        <v>8</v>
      </c>
      <c r="G54" s="4" t="str">
        <f t="shared" si="2"/>
        <v>S8</v>
      </c>
      <c r="H54" s="4" t="s">
        <v>82</v>
      </c>
      <c r="I54" s="4" t="s">
        <v>83</v>
      </c>
      <c r="J54" s="24" t="s">
        <v>156</v>
      </c>
      <c r="K54" s="4" t="s">
        <v>197</v>
      </c>
      <c r="L54" t="str">
        <f t="shared" si="0"/>
        <v>DJS8</v>
      </c>
      <c r="M54" s="4" t="str">
        <f t="shared" si="3"/>
        <v>SATURDAY</v>
      </c>
      <c r="N54" s="4" t="str">
        <f t="shared" si="4"/>
        <v>04:00-05:00</v>
      </c>
      <c r="O54" t="str">
        <f t="shared" si="5"/>
        <v>BA208</v>
      </c>
      <c r="P54" t="str">
        <f t="shared" si="6"/>
        <v>Daniel Jadi</v>
      </c>
    </row>
    <row r="55" spans="1:16" x14ac:dyDescent="0.3">
      <c r="A55" s="4">
        <v>2</v>
      </c>
      <c r="B55" s="4" t="s">
        <v>139</v>
      </c>
      <c r="C55" s="4" t="s">
        <v>8</v>
      </c>
      <c r="D55" s="4" t="s">
        <v>29</v>
      </c>
      <c r="E55" s="4" t="str">
        <f t="shared" si="1"/>
        <v>S</v>
      </c>
      <c r="F55" s="4">
        <v>9</v>
      </c>
      <c r="G55" s="4" t="str">
        <f t="shared" si="2"/>
        <v>S9</v>
      </c>
      <c r="H55" s="4" t="s">
        <v>82</v>
      </c>
      <c r="I55" s="4" t="s">
        <v>95</v>
      </c>
      <c r="J55" s="24" t="s">
        <v>95</v>
      </c>
      <c r="K55" s="4" t="s">
        <v>95</v>
      </c>
      <c r="L55" t="str">
        <f t="shared" si="0"/>
        <v>NAS9</v>
      </c>
      <c r="M55" s="4" t="str">
        <f t="shared" si="3"/>
        <v>SATURDAY</v>
      </c>
      <c r="N55" s="4" t="str">
        <f t="shared" si="4"/>
        <v>05:00-06:00</v>
      </c>
      <c r="O55" t="str">
        <f t="shared" si="5"/>
        <v>BA208</v>
      </c>
      <c r="P55" t="str">
        <f t="shared" si="6"/>
        <v>NA</v>
      </c>
    </row>
    <row r="56" spans="1:16" x14ac:dyDescent="0.3">
      <c r="A56" s="4">
        <v>4</v>
      </c>
      <c r="B56" s="4" t="s">
        <v>139</v>
      </c>
      <c r="C56" s="4" t="s">
        <v>3</v>
      </c>
      <c r="D56" s="4" t="s">
        <v>9</v>
      </c>
      <c r="E56" s="4" t="str">
        <f t="shared" si="1"/>
        <v>M</v>
      </c>
      <c r="F56" s="4">
        <v>1</v>
      </c>
      <c r="G56" s="4" t="str">
        <f t="shared" si="2"/>
        <v>M1</v>
      </c>
      <c r="H56" s="4" t="s">
        <v>96</v>
      </c>
      <c r="I56" s="4" t="s">
        <v>95</v>
      </c>
      <c r="J56" s="4" t="s">
        <v>95</v>
      </c>
      <c r="K56" s="4" t="s">
        <v>95</v>
      </c>
      <c r="L56" t="str">
        <f t="shared" si="0"/>
        <v>NAM1</v>
      </c>
      <c r="M56" s="4" t="str">
        <f t="shared" si="3"/>
        <v>MONDAY</v>
      </c>
      <c r="N56" s="4" t="str">
        <f t="shared" si="4"/>
        <v>09:00-10:00</v>
      </c>
      <c r="O56" t="str">
        <f t="shared" si="5"/>
        <v>LEISURE</v>
      </c>
      <c r="P56" t="str">
        <f t="shared" si="6"/>
        <v>NA</v>
      </c>
    </row>
    <row r="57" spans="1:16" x14ac:dyDescent="0.3">
      <c r="A57" s="4">
        <v>4</v>
      </c>
      <c r="B57" s="4" t="s">
        <v>139</v>
      </c>
      <c r="C57" s="4" t="s">
        <v>3</v>
      </c>
      <c r="D57" s="4" t="s">
        <v>13</v>
      </c>
      <c r="E57" s="4" t="str">
        <f t="shared" si="1"/>
        <v>M</v>
      </c>
      <c r="F57" s="4">
        <v>2</v>
      </c>
      <c r="G57" s="4" t="str">
        <f t="shared" si="2"/>
        <v>M2</v>
      </c>
      <c r="H57" s="4" t="s">
        <v>96</v>
      </c>
      <c r="I57" s="4" t="s">
        <v>95</v>
      </c>
      <c r="J57" s="4" t="s">
        <v>95</v>
      </c>
      <c r="K57" s="4" t="s">
        <v>95</v>
      </c>
      <c r="L57" t="str">
        <f t="shared" si="0"/>
        <v>NAM2</v>
      </c>
      <c r="M57" s="4" t="str">
        <f t="shared" si="3"/>
        <v>MONDAY</v>
      </c>
      <c r="N57" s="4" t="str">
        <f t="shared" si="4"/>
        <v>10:00-11:00</v>
      </c>
      <c r="O57" t="str">
        <f t="shared" si="5"/>
        <v>LEISURE</v>
      </c>
      <c r="P57" t="str">
        <f t="shared" si="6"/>
        <v>NA</v>
      </c>
    </row>
    <row r="58" spans="1:16" x14ac:dyDescent="0.3">
      <c r="A58" s="4">
        <v>4</v>
      </c>
      <c r="B58" s="4" t="s">
        <v>139</v>
      </c>
      <c r="C58" s="4" t="s">
        <v>3</v>
      </c>
      <c r="D58" s="4" t="s">
        <v>15</v>
      </c>
      <c r="E58" s="4" t="str">
        <f t="shared" si="1"/>
        <v>M</v>
      </c>
      <c r="F58" s="4">
        <v>3</v>
      </c>
      <c r="G58" s="4" t="str">
        <f t="shared" si="2"/>
        <v>M3</v>
      </c>
      <c r="H58" s="4" t="s">
        <v>96</v>
      </c>
      <c r="I58" s="4" t="s">
        <v>95</v>
      </c>
      <c r="J58" s="4" t="s">
        <v>95</v>
      </c>
      <c r="K58" s="4" t="s">
        <v>95</v>
      </c>
      <c r="L58" t="str">
        <f t="shared" si="0"/>
        <v>NAM3</v>
      </c>
      <c r="M58" s="4" t="str">
        <f t="shared" si="3"/>
        <v>MONDAY</v>
      </c>
      <c r="N58" s="4" t="str">
        <f t="shared" si="4"/>
        <v>11:00-12:00</v>
      </c>
      <c r="O58" t="str">
        <f t="shared" si="5"/>
        <v>LEISURE</v>
      </c>
      <c r="P58" t="str">
        <f t="shared" si="6"/>
        <v>NA</v>
      </c>
    </row>
    <row r="59" spans="1:16" x14ac:dyDescent="0.3">
      <c r="A59" s="4">
        <v>4</v>
      </c>
      <c r="B59" s="4" t="s">
        <v>139</v>
      </c>
      <c r="C59" s="4" t="s">
        <v>3</v>
      </c>
      <c r="D59" s="4" t="s">
        <v>19</v>
      </c>
      <c r="E59" s="4" t="str">
        <f t="shared" si="1"/>
        <v>M</v>
      </c>
      <c r="F59" s="4">
        <v>4</v>
      </c>
      <c r="G59" s="4" t="str">
        <f t="shared" si="2"/>
        <v>M4</v>
      </c>
      <c r="H59" s="4" t="s">
        <v>96</v>
      </c>
      <c r="I59" s="4" t="s">
        <v>95</v>
      </c>
      <c r="J59" s="4" t="s">
        <v>95</v>
      </c>
      <c r="K59" s="4" t="s">
        <v>95</v>
      </c>
      <c r="L59" t="str">
        <f t="shared" si="0"/>
        <v>NAM4</v>
      </c>
      <c r="M59" s="4" t="str">
        <f t="shared" si="3"/>
        <v>MONDAY</v>
      </c>
      <c r="N59" s="4" t="str">
        <f t="shared" si="4"/>
        <v>12:00-01:00</v>
      </c>
      <c r="O59" t="str">
        <f t="shared" si="5"/>
        <v>LEISURE</v>
      </c>
      <c r="P59" t="str">
        <f t="shared" si="6"/>
        <v>NA</v>
      </c>
    </row>
    <row r="60" spans="1:16" x14ac:dyDescent="0.3">
      <c r="A60" s="4">
        <v>4</v>
      </c>
      <c r="B60" s="4" t="s">
        <v>139</v>
      </c>
      <c r="C60" s="4" t="s">
        <v>3</v>
      </c>
      <c r="D60" s="4" t="s">
        <v>152</v>
      </c>
      <c r="E60" s="4" t="str">
        <f t="shared" si="1"/>
        <v>M</v>
      </c>
      <c r="F60" s="4">
        <v>5</v>
      </c>
      <c r="G60" s="4" t="str">
        <f t="shared" si="2"/>
        <v>M5</v>
      </c>
      <c r="H60" s="4" t="s">
        <v>94</v>
      </c>
      <c r="I60" s="4" t="s">
        <v>95</v>
      </c>
      <c r="J60" s="4" t="s">
        <v>95</v>
      </c>
      <c r="K60" s="4" t="s">
        <v>95</v>
      </c>
      <c r="L60" t="str">
        <f t="shared" si="0"/>
        <v>NAM5</v>
      </c>
      <c r="M60" s="4" t="str">
        <f t="shared" si="3"/>
        <v>MONDAY</v>
      </c>
      <c r="N60" s="4" t="str">
        <f t="shared" si="4"/>
        <v>01:00-02:00</v>
      </c>
      <c r="O60" t="str">
        <f t="shared" si="5"/>
        <v>LUNCH</v>
      </c>
      <c r="P60" t="str">
        <f t="shared" si="6"/>
        <v>NA</v>
      </c>
    </row>
    <row r="61" spans="1:16" x14ac:dyDescent="0.3">
      <c r="A61" s="4">
        <v>4</v>
      </c>
      <c r="B61" s="4" t="s">
        <v>139</v>
      </c>
      <c r="C61" s="4" t="s">
        <v>3</v>
      </c>
      <c r="D61" s="4" t="s">
        <v>22</v>
      </c>
      <c r="E61" s="4" t="str">
        <f t="shared" si="1"/>
        <v>M</v>
      </c>
      <c r="F61" s="4">
        <v>6</v>
      </c>
      <c r="G61" s="4" t="str">
        <f t="shared" si="2"/>
        <v>M6</v>
      </c>
      <c r="H61" s="4" t="s">
        <v>96</v>
      </c>
      <c r="I61" s="4" t="s">
        <v>95</v>
      </c>
      <c r="J61" s="4" t="s">
        <v>95</v>
      </c>
      <c r="K61" s="4" t="s">
        <v>95</v>
      </c>
      <c r="L61" t="str">
        <f t="shared" si="0"/>
        <v>NAM6</v>
      </c>
      <c r="M61" s="4" t="str">
        <f t="shared" si="3"/>
        <v>MONDAY</v>
      </c>
      <c r="N61" s="4" t="str">
        <f t="shared" si="4"/>
        <v>02:00-03:00</v>
      </c>
      <c r="O61" t="str">
        <f t="shared" si="5"/>
        <v>LEISURE</v>
      </c>
      <c r="P61" t="str">
        <f t="shared" si="6"/>
        <v>NA</v>
      </c>
    </row>
    <row r="62" spans="1:16" x14ac:dyDescent="0.3">
      <c r="A62" s="4">
        <v>4</v>
      </c>
      <c r="B62" s="4" t="s">
        <v>139</v>
      </c>
      <c r="C62" s="4" t="s">
        <v>3</v>
      </c>
      <c r="D62" s="4" t="s">
        <v>25</v>
      </c>
      <c r="E62" s="4" t="str">
        <f t="shared" si="1"/>
        <v>M</v>
      </c>
      <c r="F62" s="4">
        <v>7</v>
      </c>
      <c r="G62" s="4" t="str">
        <f t="shared" si="2"/>
        <v>M7</v>
      </c>
      <c r="H62" s="4" t="s">
        <v>96</v>
      </c>
      <c r="I62" s="4" t="s">
        <v>95</v>
      </c>
      <c r="J62" s="4" t="s">
        <v>95</v>
      </c>
      <c r="K62" s="4" t="s">
        <v>95</v>
      </c>
      <c r="L62" t="str">
        <f t="shared" si="0"/>
        <v>NAM7</v>
      </c>
      <c r="M62" s="4" t="str">
        <f t="shared" si="3"/>
        <v>MONDAY</v>
      </c>
      <c r="N62" s="4" t="str">
        <f t="shared" si="4"/>
        <v>03:00-04:00</v>
      </c>
      <c r="O62" t="str">
        <f t="shared" si="5"/>
        <v>LEISURE</v>
      </c>
      <c r="P62" t="str">
        <f t="shared" si="6"/>
        <v>NA</v>
      </c>
    </row>
    <row r="63" spans="1:16" x14ac:dyDescent="0.3">
      <c r="A63" s="4">
        <v>4</v>
      </c>
      <c r="B63" s="4" t="s">
        <v>139</v>
      </c>
      <c r="C63" s="4" t="s">
        <v>3</v>
      </c>
      <c r="D63" s="4" t="s">
        <v>26</v>
      </c>
      <c r="E63" s="4" t="str">
        <f t="shared" si="1"/>
        <v>M</v>
      </c>
      <c r="F63" s="4">
        <v>8</v>
      </c>
      <c r="G63" s="4" t="str">
        <f t="shared" si="2"/>
        <v>M8</v>
      </c>
      <c r="H63" s="4" t="s">
        <v>96</v>
      </c>
      <c r="I63" s="4" t="s">
        <v>95</v>
      </c>
      <c r="J63" s="4" t="s">
        <v>95</v>
      </c>
      <c r="K63" s="4" t="s">
        <v>95</v>
      </c>
      <c r="L63" t="str">
        <f t="shared" si="0"/>
        <v>NAM8</v>
      </c>
      <c r="M63" s="4" t="str">
        <f t="shared" si="3"/>
        <v>MONDAY</v>
      </c>
      <c r="N63" s="4" t="str">
        <f t="shared" si="4"/>
        <v>04:00-05:00</v>
      </c>
      <c r="O63" t="str">
        <f t="shared" si="5"/>
        <v>LEISURE</v>
      </c>
      <c r="P63" t="str">
        <f t="shared" si="6"/>
        <v>NA</v>
      </c>
    </row>
    <row r="64" spans="1:16" x14ac:dyDescent="0.3">
      <c r="A64" s="4">
        <v>4</v>
      </c>
      <c r="B64" s="4" t="s">
        <v>139</v>
      </c>
      <c r="C64" s="4" t="s">
        <v>3</v>
      </c>
      <c r="D64" s="4" t="s">
        <v>29</v>
      </c>
      <c r="E64" s="4" t="str">
        <f t="shared" si="1"/>
        <v>M</v>
      </c>
      <c r="F64" s="4">
        <v>9</v>
      </c>
      <c r="G64" s="4" t="str">
        <f t="shared" si="2"/>
        <v>M9</v>
      </c>
      <c r="H64" s="4" t="s">
        <v>96</v>
      </c>
      <c r="I64" s="4" t="s">
        <v>95</v>
      </c>
      <c r="J64" s="4" t="s">
        <v>95</v>
      </c>
      <c r="K64" s="4" t="s">
        <v>95</v>
      </c>
      <c r="L64" t="str">
        <f t="shared" si="0"/>
        <v>NAM9</v>
      </c>
      <c r="M64" s="4" t="str">
        <f t="shared" si="3"/>
        <v>MONDAY</v>
      </c>
      <c r="N64" s="4" t="str">
        <f t="shared" si="4"/>
        <v>05:00-06:00</v>
      </c>
      <c r="O64" t="str">
        <f t="shared" si="5"/>
        <v>LEISURE</v>
      </c>
      <c r="P64" t="str">
        <f t="shared" si="6"/>
        <v>NA</v>
      </c>
    </row>
    <row r="65" spans="1:16" x14ac:dyDescent="0.3">
      <c r="A65" s="4">
        <v>4</v>
      </c>
      <c r="B65" s="4" t="s">
        <v>139</v>
      </c>
      <c r="C65" s="4" t="s">
        <v>4</v>
      </c>
      <c r="D65" s="4" t="s">
        <v>9</v>
      </c>
      <c r="E65" s="4" t="str">
        <f t="shared" si="1"/>
        <v>T</v>
      </c>
      <c r="F65" s="4">
        <v>1</v>
      </c>
      <c r="G65" s="4" t="str">
        <f t="shared" si="2"/>
        <v>T1</v>
      </c>
      <c r="H65" s="4" t="s">
        <v>96</v>
      </c>
      <c r="I65" s="4" t="s">
        <v>95</v>
      </c>
      <c r="J65" s="4" t="s">
        <v>95</v>
      </c>
      <c r="K65" s="4" t="s">
        <v>95</v>
      </c>
      <c r="L65" t="str">
        <f t="shared" si="0"/>
        <v>NAT1</v>
      </c>
      <c r="M65" s="4" t="str">
        <f t="shared" si="3"/>
        <v>TUESDAY</v>
      </c>
      <c r="N65" s="4" t="str">
        <f t="shared" si="4"/>
        <v>09:00-10:00</v>
      </c>
      <c r="O65" t="str">
        <f t="shared" si="5"/>
        <v>LEISURE</v>
      </c>
      <c r="P65" t="str">
        <f t="shared" si="6"/>
        <v>NA</v>
      </c>
    </row>
    <row r="66" spans="1:16" x14ac:dyDescent="0.3">
      <c r="A66" s="4">
        <v>4</v>
      </c>
      <c r="B66" s="4" t="s">
        <v>139</v>
      </c>
      <c r="C66" s="4" t="s">
        <v>4</v>
      </c>
      <c r="D66" s="4" t="s">
        <v>13</v>
      </c>
      <c r="E66" s="4" t="str">
        <f t="shared" si="1"/>
        <v>T</v>
      </c>
      <c r="F66" s="4">
        <v>2</v>
      </c>
      <c r="G66" s="4" t="str">
        <f t="shared" si="2"/>
        <v>T2</v>
      </c>
      <c r="H66" s="4" t="s">
        <v>96</v>
      </c>
      <c r="I66" s="4" t="s">
        <v>95</v>
      </c>
      <c r="J66" s="4" t="s">
        <v>95</v>
      </c>
      <c r="K66" s="4" t="s">
        <v>95</v>
      </c>
      <c r="L66" t="str">
        <f t="shared" ref="L66:L129" si="7">_xlfn.CONCAT(K66,G66)</f>
        <v>NAT2</v>
      </c>
      <c r="M66" s="4" t="str">
        <f t="shared" si="3"/>
        <v>TUESDAY</v>
      </c>
      <c r="N66" s="4" t="str">
        <f t="shared" si="4"/>
        <v>10:00-11:00</v>
      </c>
      <c r="O66" t="str">
        <f t="shared" si="5"/>
        <v>LEISURE</v>
      </c>
      <c r="P66" t="str">
        <f t="shared" si="6"/>
        <v>NA</v>
      </c>
    </row>
    <row r="67" spans="1:16" x14ac:dyDescent="0.3">
      <c r="A67" s="4">
        <v>4</v>
      </c>
      <c r="B67" s="4" t="s">
        <v>139</v>
      </c>
      <c r="C67" s="4" t="s">
        <v>4</v>
      </c>
      <c r="D67" s="4" t="s">
        <v>15</v>
      </c>
      <c r="E67" s="4" t="str">
        <f t="shared" ref="E67:E130" si="8">IF(C67="MONDAY","M",IF(C67="TUESDAY","T",IF(C67="WEDNESDAY","W",IF(C67="THURSDAY","TH",IF(C67="FRIDAY","F",IF(C67="SATURDAY","S","NA"))))))</f>
        <v>T</v>
      </c>
      <c r="F67" s="4">
        <v>3</v>
      </c>
      <c r="G67" s="4" t="str">
        <f t="shared" ref="G67:G130" si="9">_xlfn.CONCAT(E67,F67)</f>
        <v>T3</v>
      </c>
      <c r="H67" s="4" t="s">
        <v>96</v>
      </c>
      <c r="I67" s="4" t="s">
        <v>95</v>
      </c>
      <c r="J67" s="4" t="s">
        <v>95</v>
      </c>
      <c r="K67" s="4" t="s">
        <v>95</v>
      </c>
      <c r="L67" t="str">
        <f t="shared" si="7"/>
        <v>NAT3</v>
      </c>
      <c r="M67" s="4" t="str">
        <f t="shared" ref="M67:M130" si="10">C67</f>
        <v>TUESDAY</v>
      </c>
      <c r="N67" s="4" t="str">
        <f t="shared" ref="N67:N130" si="11">D67</f>
        <v>11:00-12:00</v>
      </c>
      <c r="O67" t="str">
        <f t="shared" ref="O67:O130" si="12">H67</f>
        <v>LEISURE</v>
      </c>
      <c r="P67" t="str">
        <f t="shared" ref="P67:P130" si="13">J67</f>
        <v>NA</v>
      </c>
    </row>
    <row r="68" spans="1:16" x14ac:dyDescent="0.3">
      <c r="A68" s="4">
        <v>4</v>
      </c>
      <c r="B68" s="4" t="s">
        <v>139</v>
      </c>
      <c r="C68" s="4" t="s">
        <v>4</v>
      </c>
      <c r="D68" s="4" t="s">
        <v>19</v>
      </c>
      <c r="E68" s="4" t="str">
        <f t="shared" si="8"/>
        <v>T</v>
      </c>
      <c r="F68" s="4">
        <v>4</v>
      </c>
      <c r="G68" s="4" t="str">
        <f t="shared" si="9"/>
        <v>T4</v>
      </c>
      <c r="H68" s="4" t="s">
        <v>96</v>
      </c>
      <c r="I68" s="4" t="s">
        <v>95</v>
      </c>
      <c r="J68" s="4" t="s">
        <v>95</v>
      </c>
      <c r="K68" s="4" t="s">
        <v>95</v>
      </c>
      <c r="L68" t="str">
        <f t="shared" si="7"/>
        <v>NAT4</v>
      </c>
      <c r="M68" s="4" t="str">
        <f t="shared" si="10"/>
        <v>TUESDAY</v>
      </c>
      <c r="N68" s="4" t="str">
        <f t="shared" si="11"/>
        <v>12:00-01:00</v>
      </c>
      <c r="O68" t="str">
        <f t="shared" si="12"/>
        <v>LEISURE</v>
      </c>
      <c r="P68" t="str">
        <f t="shared" si="13"/>
        <v>NA</v>
      </c>
    </row>
    <row r="69" spans="1:16" x14ac:dyDescent="0.3">
      <c r="A69" s="4">
        <v>4</v>
      </c>
      <c r="B69" s="4" t="s">
        <v>139</v>
      </c>
      <c r="C69" s="4" t="s">
        <v>4</v>
      </c>
      <c r="D69" s="4" t="s">
        <v>152</v>
      </c>
      <c r="E69" s="4" t="str">
        <f t="shared" si="8"/>
        <v>T</v>
      </c>
      <c r="F69" s="4">
        <v>5</v>
      </c>
      <c r="G69" s="4" t="str">
        <f t="shared" si="9"/>
        <v>T5</v>
      </c>
      <c r="H69" s="4" t="s">
        <v>94</v>
      </c>
      <c r="I69" s="4" t="s">
        <v>95</v>
      </c>
      <c r="J69" s="4" t="s">
        <v>95</v>
      </c>
      <c r="K69" s="4" t="s">
        <v>95</v>
      </c>
      <c r="L69" t="str">
        <f t="shared" si="7"/>
        <v>NAT5</v>
      </c>
      <c r="M69" s="4" t="str">
        <f t="shared" si="10"/>
        <v>TUESDAY</v>
      </c>
      <c r="N69" s="4" t="str">
        <f t="shared" si="11"/>
        <v>01:00-02:00</v>
      </c>
      <c r="O69" t="str">
        <f t="shared" si="12"/>
        <v>LUNCH</v>
      </c>
      <c r="P69" t="str">
        <f t="shared" si="13"/>
        <v>NA</v>
      </c>
    </row>
    <row r="70" spans="1:16" x14ac:dyDescent="0.3">
      <c r="A70" s="4">
        <v>4</v>
      </c>
      <c r="B70" s="4" t="s">
        <v>139</v>
      </c>
      <c r="C70" s="4" t="s">
        <v>4</v>
      </c>
      <c r="D70" s="4" t="s">
        <v>22</v>
      </c>
      <c r="E70" s="4" t="str">
        <f t="shared" si="8"/>
        <v>T</v>
      </c>
      <c r="F70" s="4">
        <v>6</v>
      </c>
      <c r="G70" s="4" t="str">
        <f t="shared" si="9"/>
        <v>T6</v>
      </c>
      <c r="H70" s="4" t="s">
        <v>96</v>
      </c>
      <c r="I70" s="4" t="s">
        <v>95</v>
      </c>
      <c r="J70" s="4" t="s">
        <v>95</v>
      </c>
      <c r="K70" s="4" t="s">
        <v>95</v>
      </c>
      <c r="L70" t="str">
        <f t="shared" si="7"/>
        <v>NAT6</v>
      </c>
      <c r="M70" s="4" t="str">
        <f t="shared" si="10"/>
        <v>TUESDAY</v>
      </c>
      <c r="N70" s="4" t="str">
        <f t="shared" si="11"/>
        <v>02:00-03:00</v>
      </c>
      <c r="O70" t="str">
        <f t="shared" si="12"/>
        <v>LEISURE</v>
      </c>
      <c r="P70" t="str">
        <f t="shared" si="13"/>
        <v>NA</v>
      </c>
    </row>
    <row r="71" spans="1:16" x14ac:dyDescent="0.3">
      <c r="A71" s="4">
        <v>4</v>
      </c>
      <c r="B71" s="4" t="s">
        <v>139</v>
      </c>
      <c r="C71" s="4" t="s">
        <v>4</v>
      </c>
      <c r="D71" s="4" t="s">
        <v>25</v>
      </c>
      <c r="E71" s="4" t="str">
        <f t="shared" si="8"/>
        <v>T</v>
      </c>
      <c r="F71" s="4">
        <v>7</v>
      </c>
      <c r="G71" s="4" t="str">
        <f t="shared" si="9"/>
        <v>T7</v>
      </c>
      <c r="H71" s="4" t="s">
        <v>96</v>
      </c>
      <c r="I71" s="4" t="s">
        <v>95</v>
      </c>
      <c r="J71" s="4" t="s">
        <v>95</v>
      </c>
      <c r="K71" s="4" t="s">
        <v>95</v>
      </c>
      <c r="L71" t="str">
        <f t="shared" si="7"/>
        <v>NAT7</v>
      </c>
      <c r="M71" s="4" t="str">
        <f t="shared" si="10"/>
        <v>TUESDAY</v>
      </c>
      <c r="N71" s="4" t="str">
        <f t="shared" si="11"/>
        <v>03:00-04:00</v>
      </c>
      <c r="O71" t="str">
        <f t="shared" si="12"/>
        <v>LEISURE</v>
      </c>
      <c r="P71" t="str">
        <f t="shared" si="13"/>
        <v>NA</v>
      </c>
    </row>
    <row r="72" spans="1:16" x14ac:dyDescent="0.3">
      <c r="A72" s="4">
        <v>4</v>
      </c>
      <c r="B72" s="4" t="s">
        <v>139</v>
      </c>
      <c r="C72" s="4" t="s">
        <v>4</v>
      </c>
      <c r="D72" s="4" t="s">
        <v>26</v>
      </c>
      <c r="E72" s="4" t="str">
        <f t="shared" si="8"/>
        <v>T</v>
      </c>
      <c r="F72" s="4">
        <v>8</v>
      </c>
      <c r="G72" s="4" t="str">
        <f t="shared" si="9"/>
        <v>T8</v>
      </c>
      <c r="H72" s="4" t="s">
        <v>96</v>
      </c>
      <c r="I72" s="4" t="s">
        <v>95</v>
      </c>
      <c r="J72" s="4" t="s">
        <v>95</v>
      </c>
      <c r="K72" s="4" t="s">
        <v>95</v>
      </c>
      <c r="L72" t="str">
        <f t="shared" si="7"/>
        <v>NAT8</v>
      </c>
      <c r="M72" s="4" t="str">
        <f t="shared" si="10"/>
        <v>TUESDAY</v>
      </c>
      <c r="N72" s="4" t="str">
        <f t="shared" si="11"/>
        <v>04:00-05:00</v>
      </c>
      <c r="O72" t="str">
        <f t="shared" si="12"/>
        <v>LEISURE</v>
      </c>
      <c r="P72" t="str">
        <f t="shared" si="13"/>
        <v>NA</v>
      </c>
    </row>
    <row r="73" spans="1:16" x14ac:dyDescent="0.3">
      <c r="A73" s="4">
        <v>4</v>
      </c>
      <c r="B73" s="4" t="s">
        <v>139</v>
      </c>
      <c r="C73" s="4" t="s">
        <v>4</v>
      </c>
      <c r="D73" s="4" t="s">
        <v>29</v>
      </c>
      <c r="E73" s="4" t="str">
        <f t="shared" si="8"/>
        <v>T</v>
      </c>
      <c r="F73" s="4">
        <v>9</v>
      </c>
      <c r="G73" s="4" t="str">
        <f t="shared" si="9"/>
        <v>T9</v>
      </c>
      <c r="H73" s="4" t="s">
        <v>96</v>
      </c>
      <c r="I73" s="4" t="s">
        <v>95</v>
      </c>
      <c r="J73" s="4" t="s">
        <v>95</v>
      </c>
      <c r="K73" s="4" t="s">
        <v>95</v>
      </c>
      <c r="L73" t="str">
        <f t="shared" si="7"/>
        <v>NAT9</v>
      </c>
      <c r="M73" s="4" t="str">
        <f t="shared" si="10"/>
        <v>TUESDAY</v>
      </c>
      <c r="N73" s="4" t="str">
        <f t="shared" si="11"/>
        <v>05:00-06:00</v>
      </c>
      <c r="O73" t="str">
        <f t="shared" si="12"/>
        <v>LEISURE</v>
      </c>
      <c r="P73" t="str">
        <f t="shared" si="13"/>
        <v>NA</v>
      </c>
    </row>
    <row r="74" spans="1:16" x14ac:dyDescent="0.3">
      <c r="A74" s="4">
        <v>4</v>
      </c>
      <c r="B74" s="4" t="s">
        <v>139</v>
      </c>
      <c r="C74" s="4" t="s">
        <v>5</v>
      </c>
      <c r="D74" s="4" t="s">
        <v>9</v>
      </c>
      <c r="E74" s="4" t="str">
        <f t="shared" si="8"/>
        <v>W</v>
      </c>
      <c r="F74" s="4">
        <v>1</v>
      </c>
      <c r="G74" s="4" t="str">
        <f t="shared" si="9"/>
        <v>W1</v>
      </c>
      <c r="H74" s="4" t="s">
        <v>90</v>
      </c>
      <c r="I74" s="4" t="s">
        <v>91</v>
      </c>
      <c r="J74" s="23" t="s">
        <v>70</v>
      </c>
      <c r="K74" s="4" t="s">
        <v>204</v>
      </c>
      <c r="L74" t="str">
        <f t="shared" si="7"/>
        <v>PKW1</v>
      </c>
      <c r="M74" s="4" t="str">
        <f t="shared" si="10"/>
        <v>WEDNESDAY</v>
      </c>
      <c r="N74" s="4" t="str">
        <f t="shared" si="11"/>
        <v>09:00-10:00</v>
      </c>
      <c r="O74" t="str">
        <f t="shared" si="12"/>
        <v>BA404</v>
      </c>
      <c r="P74" t="str">
        <f t="shared" si="13"/>
        <v>Dr. Pramod Kumar Mishra</v>
      </c>
    </row>
    <row r="75" spans="1:16" x14ac:dyDescent="0.3">
      <c r="A75" s="4">
        <v>4</v>
      </c>
      <c r="B75" s="4" t="s">
        <v>139</v>
      </c>
      <c r="C75" s="4" t="s">
        <v>5</v>
      </c>
      <c r="D75" s="4" t="s">
        <v>13</v>
      </c>
      <c r="E75" s="4" t="str">
        <f t="shared" si="8"/>
        <v>W</v>
      </c>
      <c r="F75" s="4">
        <v>2</v>
      </c>
      <c r="G75" s="4" t="str">
        <f t="shared" si="9"/>
        <v>W2</v>
      </c>
      <c r="H75" s="4" t="s">
        <v>90</v>
      </c>
      <c r="I75" s="4" t="s">
        <v>91</v>
      </c>
      <c r="J75" s="23" t="s">
        <v>70</v>
      </c>
      <c r="K75" s="4" t="s">
        <v>204</v>
      </c>
      <c r="L75" t="str">
        <f t="shared" si="7"/>
        <v>PKW2</v>
      </c>
      <c r="M75" s="4" t="str">
        <f t="shared" si="10"/>
        <v>WEDNESDAY</v>
      </c>
      <c r="N75" s="4" t="str">
        <f t="shared" si="11"/>
        <v>10:00-11:00</v>
      </c>
      <c r="O75" t="str">
        <f t="shared" si="12"/>
        <v>BA404</v>
      </c>
      <c r="P75" t="str">
        <f t="shared" si="13"/>
        <v>Dr. Pramod Kumar Mishra</v>
      </c>
    </row>
    <row r="76" spans="1:16" x14ac:dyDescent="0.3">
      <c r="A76" s="4">
        <v>4</v>
      </c>
      <c r="B76" s="4" t="s">
        <v>139</v>
      </c>
      <c r="C76" s="4" t="s">
        <v>5</v>
      </c>
      <c r="D76" s="4" t="s">
        <v>15</v>
      </c>
      <c r="E76" s="4" t="str">
        <f t="shared" si="8"/>
        <v>W</v>
      </c>
      <c r="F76" s="4">
        <v>3</v>
      </c>
      <c r="G76" s="4" t="str">
        <f t="shared" si="9"/>
        <v>W3</v>
      </c>
      <c r="H76" s="4" t="s">
        <v>90</v>
      </c>
      <c r="I76" s="4" t="s">
        <v>91</v>
      </c>
      <c r="J76" s="23" t="s">
        <v>70</v>
      </c>
      <c r="K76" s="4" t="s">
        <v>204</v>
      </c>
      <c r="L76" t="str">
        <f t="shared" si="7"/>
        <v>PKW3</v>
      </c>
      <c r="M76" s="4" t="str">
        <f t="shared" si="10"/>
        <v>WEDNESDAY</v>
      </c>
      <c r="N76" s="4" t="str">
        <f t="shared" si="11"/>
        <v>11:00-12:00</v>
      </c>
      <c r="O76" t="str">
        <f t="shared" si="12"/>
        <v>BA404</v>
      </c>
      <c r="P76" t="str">
        <f t="shared" si="13"/>
        <v>Dr. Pramod Kumar Mishra</v>
      </c>
    </row>
    <row r="77" spans="1:16" x14ac:dyDescent="0.3">
      <c r="A77" s="4">
        <v>4</v>
      </c>
      <c r="B77" s="4" t="s">
        <v>139</v>
      </c>
      <c r="C77" s="4" t="s">
        <v>5</v>
      </c>
      <c r="D77" s="4" t="s">
        <v>19</v>
      </c>
      <c r="E77" s="4" t="str">
        <f t="shared" si="8"/>
        <v>W</v>
      </c>
      <c r="F77" s="4">
        <v>4</v>
      </c>
      <c r="G77" s="4" t="str">
        <f t="shared" si="9"/>
        <v>W4</v>
      </c>
      <c r="H77" s="4" t="s">
        <v>96</v>
      </c>
      <c r="I77" s="4" t="s">
        <v>95</v>
      </c>
      <c r="J77" s="4" t="s">
        <v>95</v>
      </c>
      <c r="K77" s="4" t="s">
        <v>95</v>
      </c>
      <c r="L77" t="str">
        <f t="shared" si="7"/>
        <v>NAW4</v>
      </c>
      <c r="M77" s="4" t="str">
        <f t="shared" si="10"/>
        <v>WEDNESDAY</v>
      </c>
      <c r="N77" s="4" t="str">
        <f t="shared" si="11"/>
        <v>12:00-01:00</v>
      </c>
      <c r="O77" t="str">
        <f t="shared" si="12"/>
        <v>LEISURE</v>
      </c>
      <c r="P77" t="str">
        <f t="shared" si="13"/>
        <v>NA</v>
      </c>
    </row>
    <row r="78" spans="1:16" x14ac:dyDescent="0.3">
      <c r="A78" s="4">
        <v>4</v>
      </c>
      <c r="B78" s="4" t="s">
        <v>139</v>
      </c>
      <c r="C78" s="4" t="s">
        <v>5</v>
      </c>
      <c r="D78" s="4" t="s">
        <v>152</v>
      </c>
      <c r="E78" s="4" t="str">
        <f t="shared" si="8"/>
        <v>W</v>
      </c>
      <c r="F78" s="4">
        <v>5</v>
      </c>
      <c r="G78" s="4" t="str">
        <f t="shared" si="9"/>
        <v>W5</v>
      </c>
      <c r="H78" s="4" t="s">
        <v>94</v>
      </c>
      <c r="I78" s="4" t="s">
        <v>95</v>
      </c>
      <c r="J78" s="4" t="s">
        <v>95</v>
      </c>
      <c r="K78" s="4" t="s">
        <v>95</v>
      </c>
      <c r="L78" t="str">
        <f t="shared" si="7"/>
        <v>NAW5</v>
      </c>
      <c r="M78" s="4" t="str">
        <f t="shared" si="10"/>
        <v>WEDNESDAY</v>
      </c>
      <c r="N78" s="4" t="str">
        <f t="shared" si="11"/>
        <v>01:00-02:00</v>
      </c>
      <c r="O78" t="str">
        <f t="shared" si="12"/>
        <v>LUNCH</v>
      </c>
      <c r="P78" t="str">
        <f t="shared" si="13"/>
        <v>NA</v>
      </c>
    </row>
    <row r="79" spans="1:16" x14ac:dyDescent="0.3">
      <c r="A79" s="4">
        <v>4</v>
      </c>
      <c r="B79" s="4" t="s">
        <v>139</v>
      </c>
      <c r="C79" s="4" t="s">
        <v>5</v>
      </c>
      <c r="D79" s="4" t="s">
        <v>22</v>
      </c>
      <c r="E79" s="4" t="str">
        <f t="shared" si="8"/>
        <v>W</v>
      </c>
      <c r="F79" s="4">
        <v>6</v>
      </c>
      <c r="G79" s="4" t="str">
        <f t="shared" si="9"/>
        <v>W6</v>
      </c>
      <c r="H79" s="4" t="s">
        <v>96</v>
      </c>
      <c r="I79" s="4" t="s">
        <v>95</v>
      </c>
      <c r="J79" s="4" t="s">
        <v>95</v>
      </c>
      <c r="K79" s="4" t="s">
        <v>95</v>
      </c>
      <c r="L79" t="str">
        <f t="shared" si="7"/>
        <v>NAW6</v>
      </c>
      <c r="M79" s="4" t="str">
        <f t="shared" si="10"/>
        <v>WEDNESDAY</v>
      </c>
      <c r="N79" s="4" t="str">
        <f t="shared" si="11"/>
        <v>02:00-03:00</v>
      </c>
      <c r="O79" t="str">
        <f t="shared" si="12"/>
        <v>LEISURE</v>
      </c>
      <c r="P79" t="str">
        <f t="shared" si="13"/>
        <v>NA</v>
      </c>
    </row>
    <row r="80" spans="1:16" x14ac:dyDescent="0.3">
      <c r="A80" s="4">
        <v>4</v>
      </c>
      <c r="B80" s="4" t="s">
        <v>139</v>
      </c>
      <c r="C80" s="4" t="s">
        <v>5</v>
      </c>
      <c r="D80" s="4" t="s">
        <v>25</v>
      </c>
      <c r="E80" s="4" t="str">
        <f t="shared" si="8"/>
        <v>W</v>
      </c>
      <c r="F80" s="4">
        <v>7</v>
      </c>
      <c r="G80" s="4" t="str">
        <f t="shared" si="9"/>
        <v>W7</v>
      </c>
      <c r="H80" s="4" t="s">
        <v>96</v>
      </c>
      <c r="I80" s="4" t="s">
        <v>95</v>
      </c>
      <c r="J80" s="4" t="s">
        <v>95</v>
      </c>
      <c r="K80" s="4" t="s">
        <v>95</v>
      </c>
      <c r="L80" t="str">
        <f t="shared" si="7"/>
        <v>NAW7</v>
      </c>
      <c r="M80" s="4" t="str">
        <f t="shared" si="10"/>
        <v>WEDNESDAY</v>
      </c>
      <c r="N80" s="4" t="str">
        <f t="shared" si="11"/>
        <v>03:00-04:00</v>
      </c>
      <c r="O80" t="str">
        <f t="shared" si="12"/>
        <v>LEISURE</v>
      </c>
      <c r="P80" t="str">
        <f t="shared" si="13"/>
        <v>NA</v>
      </c>
    </row>
    <row r="81" spans="1:16" x14ac:dyDescent="0.3">
      <c r="A81" s="4">
        <v>4</v>
      </c>
      <c r="B81" s="4" t="s">
        <v>139</v>
      </c>
      <c r="C81" s="4" t="s">
        <v>5</v>
      </c>
      <c r="D81" s="4" t="s">
        <v>26</v>
      </c>
      <c r="E81" s="4" t="str">
        <f t="shared" si="8"/>
        <v>W</v>
      </c>
      <c r="F81" s="4">
        <v>8</v>
      </c>
      <c r="G81" s="4" t="str">
        <f t="shared" si="9"/>
        <v>W8</v>
      </c>
      <c r="H81" s="4" t="s">
        <v>96</v>
      </c>
      <c r="I81" s="4" t="s">
        <v>95</v>
      </c>
      <c r="J81" s="4" t="s">
        <v>95</v>
      </c>
      <c r="K81" s="4" t="s">
        <v>95</v>
      </c>
      <c r="L81" t="str">
        <f t="shared" si="7"/>
        <v>NAW8</v>
      </c>
      <c r="M81" s="4" t="str">
        <f t="shared" si="10"/>
        <v>WEDNESDAY</v>
      </c>
      <c r="N81" s="4" t="str">
        <f t="shared" si="11"/>
        <v>04:00-05:00</v>
      </c>
      <c r="O81" t="str">
        <f t="shared" si="12"/>
        <v>LEISURE</v>
      </c>
      <c r="P81" t="str">
        <f t="shared" si="13"/>
        <v>NA</v>
      </c>
    </row>
    <row r="82" spans="1:16" x14ac:dyDescent="0.3">
      <c r="A82" s="4">
        <v>4</v>
      </c>
      <c r="B82" s="4" t="s">
        <v>139</v>
      </c>
      <c r="C82" s="4" t="s">
        <v>5</v>
      </c>
      <c r="D82" s="4" t="s">
        <v>29</v>
      </c>
      <c r="E82" s="4" t="str">
        <f t="shared" si="8"/>
        <v>W</v>
      </c>
      <c r="F82" s="4">
        <v>9</v>
      </c>
      <c r="G82" s="4" t="str">
        <f t="shared" si="9"/>
        <v>W9</v>
      </c>
      <c r="H82" s="4" t="s">
        <v>96</v>
      </c>
      <c r="I82" s="4" t="s">
        <v>95</v>
      </c>
      <c r="J82" s="4" t="s">
        <v>95</v>
      </c>
      <c r="K82" s="4" t="s">
        <v>95</v>
      </c>
      <c r="L82" t="str">
        <f t="shared" si="7"/>
        <v>NAW9</v>
      </c>
      <c r="M82" s="4" t="str">
        <f t="shared" si="10"/>
        <v>WEDNESDAY</v>
      </c>
      <c r="N82" s="4" t="str">
        <f t="shared" si="11"/>
        <v>05:00-06:00</v>
      </c>
      <c r="O82" t="str">
        <f t="shared" si="12"/>
        <v>LEISURE</v>
      </c>
      <c r="P82" t="str">
        <f t="shared" si="13"/>
        <v>NA</v>
      </c>
    </row>
    <row r="83" spans="1:16" x14ac:dyDescent="0.3">
      <c r="A83" s="4">
        <v>4</v>
      </c>
      <c r="B83" s="4" t="s">
        <v>139</v>
      </c>
      <c r="C83" s="4" t="s">
        <v>6</v>
      </c>
      <c r="D83" s="4" t="s">
        <v>9</v>
      </c>
      <c r="E83" s="4" t="str">
        <f t="shared" si="8"/>
        <v>TH</v>
      </c>
      <c r="F83" s="4">
        <v>1</v>
      </c>
      <c r="G83" s="4" t="str">
        <f t="shared" si="9"/>
        <v>TH1</v>
      </c>
      <c r="H83" s="4" t="s">
        <v>96</v>
      </c>
      <c r="I83" s="4" t="s">
        <v>95</v>
      </c>
      <c r="J83" s="4" t="s">
        <v>95</v>
      </c>
      <c r="K83" s="4" t="s">
        <v>95</v>
      </c>
      <c r="L83" t="str">
        <f t="shared" si="7"/>
        <v>NATH1</v>
      </c>
      <c r="M83" s="4" t="str">
        <f t="shared" si="10"/>
        <v>THURSDAY</v>
      </c>
      <c r="N83" s="4" t="str">
        <f t="shared" si="11"/>
        <v>09:00-10:00</v>
      </c>
      <c r="O83" t="str">
        <f t="shared" si="12"/>
        <v>LEISURE</v>
      </c>
      <c r="P83" t="str">
        <f t="shared" si="13"/>
        <v>NA</v>
      </c>
    </row>
    <row r="84" spans="1:16" x14ac:dyDescent="0.3">
      <c r="A84" s="4">
        <v>4</v>
      </c>
      <c r="B84" s="4" t="s">
        <v>139</v>
      </c>
      <c r="C84" s="4" t="s">
        <v>6</v>
      </c>
      <c r="D84" s="4" t="s">
        <v>13</v>
      </c>
      <c r="E84" s="4" t="str">
        <f t="shared" si="8"/>
        <v>TH</v>
      </c>
      <c r="F84" s="4">
        <v>2</v>
      </c>
      <c r="G84" s="4" t="str">
        <f t="shared" si="9"/>
        <v>TH2</v>
      </c>
      <c r="H84" s="4" t="s">
        <v>96</v>
      </c>
      <c r="I84" s="4" t="s">
        <v>95</v>
      </c>
      <c r="J84" s="4" t="s">
        <v>95</v>
      </c>
      <c r="K84" s="4" t="s">
        <v>95</v>
      </c>
      <c r="L84" t="str">
        <f t="shared" si="7"/>
        <v>NATH2</v>
      </c>
      <c r="M84" s="4" t="str">
        <f t="shared" si="10"/>
        <v>THURSDAY</v>
      </c>
      <c r="N84" s="4" t="str">
        <f t="shared" si="11"/>
        <v>10:00-11:00</v>
      </c>
      <c r="O84" t="str">
        <f t="shared" si="12"/>
        <v>LEISURE</v>
      </c>
      <c r="P84" t="str">
        <f t="shared" si="13"/>
        <v>NA</v>
      </c>
    </row>
    <row r="85" spans="1:16" x14ac:dyDescent="0.3">
      <c r="A85" s="4">
        <v>4</v>
      </c>
      <c r="B85" s="4" t="s">
        <v>139</v>
      </c>
      <c r="C85" s="4" t="s">
        <v>6</v>
      </c>
      <c r="D85" s="4" t="s">
        <v>15</v>
      </c>
      <c r="E85" s="4" t="str">
        <f t="shared" si="8"/>
        <v>TH</v>
      </c>
      <c r="F85" s="4">
        <v>3</v>
      </c>
      <c r="G85" s="4" t="str">
        <f t="shared" si="9"/>
        <v>TH3</v>
      </c>
      <c r="H85" s="4" t="s">
        <v>96</v>
      </c>
      <c r="I85" s="4" t="s">
        <v>95</v>
      </c>
      <c r="J85" s="4" t="s">
        <v>95</v>
      </c>
      <c r="K85" s="4" t="s">
        <v>95</v>
      </c>
      <c r="L85" t="str">
        <f t="shared" si="7"/>
        <v>NATH3</v>
      </c>
      <c r="M85" s="4" t="str">
        <f t="shared" si="10"/>
        <v>THURSDAY</v>
      </c>
      <c r="N85" s="4" t="str">
        <f t="shared" si="11"/>
        <v>11:00-12:00</v>
      </c>
      <c r="O85" t="str">
        <f t="shared" si="12"/>
        <v>LEISURE</v>
      </c>
      <c r="P85" t="str">
        <f t="shared" si="13"/>
        <v>NA</v>
      </c>
    </row>
    <row r="86" spans="1:16" x14ac:dyDescent="0.3">
      <c r="A86" s="4">
        <v>4</v>
      </c>
      <c r="B86" s="4" t="s">
        <v>139</v>
      </c>
      <c r="C86" s="4" t="s">
        <v>6</v>
      </c>
      <c r="D86" s="4" t="s">
        <v>19</v>
      </c>
      <c r="E86" s="4" t="str">
        <f t="shared" si="8"/>
        <v>TH</v>
      </c>
      <c r="F86" s="4">
        <v>4</v>
      </c>
      <c r="G86" s="4" t="str">
        <f t="shared" si="9"/>
        <v>TH4</v>
      </c>
      <c r="H86" s="4" t="s">
        <v>96</v>
      </c>
      <c r="I86" s="4" t="s">
        <v>95</v>
      </c>
      <c r="J86" s="4" t="s">
        <v>95</v>
      </c>
      <c r="K86" s="4" t="s">
        <v>95</v>
      </c>
      <c r="L86" t="str">
        <f t="shared" si="7"/>
        <v>NATH4</v>
      </c>
      <c r="M86" s="4" t="str">
        <f t="shared" si="10"/>
        <v>THURSDAY</v>
      </c>
      <c r="N86" s="4" t="str">
        <f t="shared" si="11"/>
        <v>12:00-01:00</v>
      </c>
      <c r="O86" t="str">
        <f t="shared" si="12"/>
        <v>LEISURE</v>
      </c>
      <c r="P86" t="str">
        <f t="shared" si="13"/>
        <v>NA</v>
      </c>
    </row>
    <row r="87" spans="1:16" x14ac:dyDescent="0.3">
      <c r="A87" s="4">
        <v>4</v>
      </c>
      <c r="B87" s="4" t="s">
        <v>139</v>
      </c>
      <c r="C87" s="4" t="s">
        <v>6</v>
      </c>
      <c r="D87" s="4" t="s">
        <v>152</v>
      </c>
      <c r="E87" s="4" t="str">
        <f t="shared" si="8"/>
        <v>TH</v>
      </c>
      <c r="F87" s="4">
        <v>5</v>
      </c>
      <c r="G87" s="4" t="str">
        <f t="shared" si="9"/>
        <v>TH5</v>
      </c>
      <c r="H87" s="4" t="s">
        <v>94</v>
      </c>
      <c r="I87" s="4" t="s">
        <v>95</v>
      </c>
      <c r="J87" s="4" t="s">
        <v>95</v>
      </c>
      <c r="K87" s="4" t="s">
        <v>95</v>
      </c>
      <c r="L87" t="str">
        <f t="shared" si="7"/>
        <v>NATH5</v>
      </c>
      <c r="M87" s="4" t="str">
        <f t="shared" si="10"/>
        <v>THURSDAY</v>
      </c>
      <c r="N87" s="4" t="str">
        <f t="shared" si="11"/>
        <v>01:00-02:00</v>
      </c>
      <c r="O87" t="str">
        <f t="shared" si="12"/>
        <v>LUNCH</v>
      </c>
      <c r="P87" t="str">
        <f t="shared" si="13"/>
        <v>NA</v>
      </c>
    </row>
    <row r="88" spans="1:16" x14ac:dyDescent="0.3">
      <c r="A88" s="4">
        <v>4</v>
      </c>
      <c r="B88" s="4" t="s">
        <v>139</v>
      </c>
      <c r="C88" s="4" t="s">
        <v>6</v>
      </c>
      <c r="D88" s="4" t="s">
        <v>22</v>
      </c>
      <c r="E88" s="4" t="str">
        <f t="shared" si="8"/>
        <v>TH</v>
      </c>
      <c r="F88" s="4">
        <v>6</v>
      </c>
      <c r="G88" s="4" t="str">
        <f t="shared" si="9"/>
        <v>TH6</v>
      </c>
      <c r="H88" s="4" t="s">
        <v>96</v>
      </c>
      <c r="I88" s="4" t="s">
        <v>95</v>
      </c>
      <c r="J88" s="4" t="s">
        <v>95</v>
      </c>
      <c r="K88" s="4" t="s">
        <v>95</v>
      </c>
      <c r="L88" t="str">
        <f t="shared" si="7"/>
        <v>NATH6</v>
      </c>
      <c r="M88" s="4" t="str">
        <f t="shared" si="10"/>
        <v>THURSDAY</v>
      </c>
      <c r="N88" s="4" t="str">
        <f t="shared" si="11"/>
        <v>02:00-03:00</v>
      </c>
      <c r="O88" t="str">
        <f t="shared" si="12"/>
        <v>LEISURE</v>
      </c>
      <c r="P88" t="str">
        <f t="shared" si="13"/>
        <v>NA</v>
      </c>
    </row>
    <row r="89" spans="1:16" x14ac:dyDescent="0.3">
      <c r="A89" s="4">
        <v>4</v>
      </c>
      <c r="B89" s="4" t="s">
        <v>139</v>
      </c>
      <c r="C89" s="4" t="s">
        <v>6</v>
      </c>
      <c r="D89" s="4" t="s">
        <v>25</v>
      </c>
      <c r="E89" s="4" t="str">
        <f t="shared" si="8"/>
        <v>TH</v>
      </c>
      <c r="F89" s="4">
        <v>7</v>
      </c>
      <c r="G89" s="4" t="str">
        <f t="shared" si="9"/>
        <v>TH7</v>
      </c>
      <c r="H89" s="4" t="s">
        <v>96</v>
      </c>
      <c r="I89" s="4" t="s">
        <v>95</v>
      </c>
      <c r="J89" s="4" t="s">
        <v>95</v>
      </c>
      <c r="K89" s="4" t="s">
        <v>95</v>
      </c>
      <c r="L89" t="str">
        <f t="shared" si="7"/>
        <v>NATH7</v>
      </c>
      <c r="M89" s="4" t="str">
        <f t="shared" si="10"/>
        <v>THURSDAY</v>
      </c>
      <c r="N89" s="4" t="str">
        <f t="shared" si="11"/>
        <v>03:00-04:00</v>
      </c>
      <c r="O89" t="str">
        <f t="shared" si="12"/>
        <v>LEISURE</v>
      </c>
      <c r="P89" t="str">
        <f t="shared" si="13"/>
        <v>NA</v>
      </c>
    </row>
    <row r="90" spans="1:16" x14ac:dyDescent="0.3">
      <c r="A90" s="4">
        <v>4</v>
      </c>
      <c r="B90" s="4" t="s">
        <v>139</v>
      </c>
      <c r="C90" s="4" t="s">
        <v>6</v>
      </c>
      <c r="D90" s="4" t="s">
        <v>26</v>
      </c>
      <c r="E90" s="4" t="str">
        <f t="shared" si="8"/>
        <v>TH</v>
      </c>
      <c r="F90" s="4">
        <v>8</v>
      </c>
      <c r="G90" s="4" t="str">
        <f t="shared" si="9"/>
        <v>TH8</v>
      </c>
      <c r="H90" s="4" t="s">
        <v>96</v>
      </c>
      <c r="I90" s="4" t="s">
        <v>95</v>
      </c>
      <c r="J90" s="4" t="s">
        <v>95</v>
      </c>
      <c r="K90" s="4" t="s">
        <v>95</v>
      </c>
      <c r="L90" t="str">
        <f t="shared" si="7"/>
        <v>NATH8</v>
      </c>
      <c r="M90" s="4" t="str">
        <f t="shared" si="10"/>
        <v>THURSDAY</v>
      </c>
      <c r="N90" s="4" t="str">
        <f t="shared" si="11"/>
        <v>04:00-05:00</v>
      </c>
      <c r="O90" t="str">
        <f t="shared" si="12"/>
        <v>LEISURE</v>
      </c>
      <c r="P90" t="str">
        <f t="shared" si="13"/>
        <v>NA</v>
      </c>
    </row>
    <row r="91" spans="1:16" x14ac:dyDescent="0.3">
      <c r="A91" s="4">
        <v>4</v>
      </c>
      <c r="B91" s="4" t="s">
        <v>139</v>
      </c>
      <c r="C91" s="4" t="s">
        <v>6</v>
      </c>
      <c r="D91" s="4" t="s">
        <v>29</v>
      </c>
      <c r="E91" s="4" t="str">
        <f t="shared" si="8"/>
        <v>TH</v>
      </c>
      <c r="F91" s="4">
        <v>9</v>
      </c>
      <c r="G91" s="4" t="str">
        <f t="shared" si="9"/>
        <v>TH9</v>
      </c>
      <c r="H91" s="4" t="s">
        <v>96</v>
      </c>
      <c r="I91" s="4" t="s">
        <v>95</v>
      </c>
      <c r="J91" s="4" t="s">
        <v>95</v>
      </c>
      <c r="K91" s="4" t="s">
        <v>95</v>
      </c>
      <c r="L91" t="str">
        <f t="shared" si="7"/>
        <v>NATH9</v>
      </c>
      <c r="M91" s="4" t="str">
        <f t="shared" si="10"/>
        <v>THURSDAY</v>
      </c>
      <c r="N91" s="4" t="str">
        <f t="shared" si="11"/>
        <v>05:00-06:00</v>
      </c>
      <c r="O91" t="str">
        <f t="shared" si="12"/>
        <v>LEISURE</v>
      </c>
      <c r="P91" t="str">
        <f t="shared" si="13"/>
        <v>NA</v>
      </c>
    </row>
    <row r="92" spans="1:16" x14ac:dyDescent="0.3">
      <c r="A92" s="4">
        <v>4</v>
      </c>
      <c r="B92" s="4" t="s">
        <v>139</v>
      </c>
      <c r="C92" s="4" t="s">
        <v>7</v>
      </c>
      <c r="D92" s="4" t="s">
        <v>9</v>
      </c>
      <c r="E92" s="4" t="str">
        <f t="shared" si="8"/>
        <v>F</v>
      </c>
      <c r="F92" s="4">
        <v>1</v>
      </c>
      <c r="G92" s="4" t="str">
        <f t="shared" si="9"/>
        <v>F1</v>
      </c>
      <c r="H92" s="4" t="s">
        <v>96</v>
      </c>
      <c r="I92" s="4" t="s">
        <v>95</v>
      </c>
      <c r="J92" s="4" t="s">
        <v>95</v>
      </c>
      <c r="K92" s="4" t="s">
        <v>95</v>
      </c>
      <c r="L92" t="str">
        <f t="shared" si="7"/>
        <v>NAF1</v>
      </c>
      <c r="M92" s="4" t="str">
        <f t="shared" si="10"/>
        <v>FRIDAY</v>
      </c>
      <c r="N92" s="4" t="str">
        <f t="shared" si="11"/>
        <v>09:00-10:00</v>
      </c>
      <c r="O92" t="str">
        <f t="shared" si="12"/>
        <v>LEISURE</v>
      </c>
      <c r="P92" t="str">
        <f t="shared" si="13"/>
        <v>NA</v>
      </c>
    </row>
    <row r="93" spans="1:16" x14ac:dyDescent="0.3">
      <c r="A93" s="4">
        <v>4</v>
      </c>
      <c r="B93" s="4" t="s">
        <v>139</v>
      </c>
      <c r="C93" s="4" t="s">
        <v>7</v>
      </c>
      <c r="D93" s="4" t="s">
        <v>13</v>
      </c>
      <c r="E93" s="4" t="str">
        <f t="shared" si="8"/>
        <v>F</v>
      </c>
      <c r="F93" s="4">
        <v>2</v>
      </c>
      <c r="G93" s="4" t="str">
        <f t="shared" si="9"/>
        <v>F2</v>
      </c>
      <c r="H93" s="4" t="s">
        <v>96</v>
      </c>
      <c r="I93" s="4" t="s">
        <v>95</v>
      </c>
      <c r="J93" s="4" t="s">
        <v>95</v>
      </c>
      <c r="K93" s="4" t="s">
        <v>95</v>
      </c>
      <c r="L93" t="str">
        <f t="shared" si="7"/>
        <v>NAF2</v>
      </c>
      <c r="M93" s="4" t="str">
        <f t="shared" si="10"/>
        <v>FRIDAY</v>
      </c>
      <c r="N93" s="4" t="str">
        <f t="shared" si="11"/>
        <v>10:00-11:00</v>
      </c>
      <c r="O93" t="str">
        <f t="shared" si="12"/>
        <v>LEISURE</v>
      </c>
      <c r="P93" t="str">
        <f t="shared" si="13"/>
        <v>NA</v>
      </c>
    </row>
    <row r="94" spans="1:16" x14ac:dyDescent="0.3">
      <c r="A94" s="4">
        <v>4</v>
      </c>
      <c r="B94" s="4" t="s">
        <v>139</v>
      </c>
      <c r="C94" s="4" t="s">
        <v>7</v>
      </c>
      <c r="D94" s="4" t="s">
        <v>15</v>
      </c>
      <c r="E94" s="4" t="str">
        <f t="shared" si="8"/>
        <v>F</v>
      </c>
      <c r="F94" s="4">
        <v>3</v>
      </c>
      <c r="G94" s="4" t="str">
        <f t="shared" si="9"/>
        <v>F3</v>
      </c>
      <c r="H94" s="4" t="s">
        <v>96</v>
      </c>
      <c r="I94" s="4" t="s">
        <v>95</v>
      </c>
      <c r="J94" s="4" t="s">
        <v>95</v>
      </c>
      <c r="K94" s="4" t="s">
        <v>95</v>
      </c>
      <c r="L94" t="str">
        <f t="shared" si="7"/>
        <v>NAF3</v>
      </c>
      <c r="M94" s="4" t="str">
        <f t="shared" si="10"/>
        <v>FRIDAY</v>
      </c>
      <c r="N94" s="4" t="str">
        <f t="shared" si="11"/>
        <v>11:00-12:00</v>
      </c>
      <c r="O94" t="str">
        <f t="shared" si="12"/>
        <v>LEISURE</v>
      </c>
      <c r="P94" t="str">
        <f t="shared" si="13"/>
        <v>NA</v>
      </c>
    </row>
    <row r="95" spans="1:16" x14ac:dyDescent="0.3">
      <c r="A95" s="4">
        <v>4</v>
      </c>
      <c r="B95" s="4" t="s">
        <v>139</v>
      </c>
      <c r="C95" s="4" t="s">
        <v>7</v>
      </c>
      <c r="D95" s="4" t="s">
        <v>19</v>
      </c>
      <c r="E95" s="4" t="str">
        <f t="shared" si="8"/>
        <v>F</v>
      </c>
      <c r="F95" s="4">
        <v>4</v>
      </c>
      <c r="G95" s="4" t="str">
        <f t="shared" si="9"/>
        <v>F4</v>
      </c>
      <c r="H95" s="4" t="s">
        <v>96</v>
      </c>
      <c r="I95" s="4" t="s">
        <v>95</v>
      </c>
      <c r="J95" s="4" t="s">
        <v>95</v>
      </c>
      <c r="K95" s="4" t="s">
        <v>95</v>
      </c>
      <c r="L95" t="str">
        <f t="shared" si="7"/>
        <v>NAF4</v>
      </c>
      <c r="M95" s="4" t="str">
        <f t="shared" si="10"/>
        <v>FRIDAY</v>
      </c>
      <c r="N95" s="4" t="str">
        <f t="shared" si="11"/>
        <v>12:00-01:00</v>
      </c>
      <c r="O95" t="str">
        <f t="shared" si="12"/>
        <v>LEISURE</v>
      </c>
      <c r="P95" t="str">
        <f t="shared" si="13"/>
        <v>NA</v>
      </c>
    </row>
    <row r="96" spans="1:16" x14ac:dyDescent="0.3">
      <c r="A96" s="4">
        <v>4</v>
      </c>
      <c r="B96" s="4" t="s">
        <v>139</v>
      </c>
      <c r="C96" s="4" t="s">
        <v>7</v>
      </c>
      <c r="D96" s="4" t="s">
        <v>152</v>
      </c>
      <c r="E96" s="4" t="str">
        <f t="shared" si="8"/>
        <v>F</v>
      </c>
      <c r="F96" s="4">
        <v>5</v>
      </c>
      <c r="G96" s="4" t="str">
        <f t="shared" si="9"/>
        <v>F5</v>
      </c>
      <c r="H96" s="4" t="s">
        <v>94</v>
      </c>
      <c r="I96" s="4" t="s">
        <v>95</v>
      </c>
      <c r="J96" s="4" t="s">
        <v>95</v>
      </c>
      <c r="K96" s="4" t="s">
        <v>95</v>
      </c>
      <c r="L96" t="str">
        <f t="shared" si="7"/>
        <v>NAF5</v>
      </c>
      <c r="M96" s="4" t="str">
        <f t="shared" si="10"/>
        <v>FRIDAY</v>
      </c>
      <c r="N96" s="4" t="str">
        <f t="shared" si="11"/>
        <v>01:00-02:00</v>
      </c>
      <c r="O96" t="str">
        <f t="shared" si="12"/>
        <v>LUNCH</v>
      </c>
      <c r="P96" t="str">
        <f t="shared" si="13"/>
        <v>NA</v>
      </c>
    </row>
    <row r="97" spans="1:16" x14ac:dyDescent="0.3">
      <c r="A97" s="4">
        <v>4</v>
      </c>
      <c r="B97" s="4" t="s">
        <v>139</v>
      </c>
      <c r="C97" s="4" t="s">
        <v>7</v>
      </c>
      <c r="D97" s="4" t="s">
        <v>22</v>
      </c>
      <c r="E97" s="4" t="str">
        <f t="shared" si="8"/>
        <v>F</v>
      </c>
      <c r="F97" s="4">
        <v>6</v>
      </c>
      <c r="G97" s="4" t="str">
        <f t="shared" si="9"/>
        <v>F6</v>
      </c>
      <c r="H97" s="4" t="s">
        <v>88</v>
      </c>
      <c r="I97" s="4" t="s">
        <v>89</v>
      </c>
      <c r="J97" s="23" t="s">
        <v>70</v>
      </c>
      <c r="K97" s="4" t="s">
        <v>204</v>
      </c>
      <c r="L97" t="str">
        <f t="shared" si="7"/>
        <v>PKF6</v>
      </c>
      <c r="M97" s="4" t="str">
        <f t="shared" si="10"/>
        <v>FRIDAY</v>
      </c>
      <c r="N97" s="4" t="str">
        <f t="shared" si="11"/>
        <v>02:00-03:00</v>
      </c>
      <c r="O97" t="str">
        <f t="shared" si="12"/>
        <v>BA403</v>
      </c>
      <c r="P97" t="str">
        <f t="shared" si="13"/>
        <v>Dr. Pramod Kumar Mishra</v>
      </c>
    </row>
    <row r="98" spans="1:16" x14ac:dyDescent="0.3">
      <c r="A98" s="4">
        <v>4</v>
      </c>
      <c r="B98" s="4" t="s">
        <v>139</v>
      </c>
      <c r="C98" s="4" t="s">
        <v>7</v>
      </c>
      <c r="D98" s="4" t="s">
        <v>25</v>
      </c>
      <c r="E98" s="4" t="str">
        <f t="shared" si="8"/>
        <v>F</v>
      </c>
      <c r="F98" s="4">
        <v>7</v>
      </c>
      <c r="G98" s="4" t="str">
        <f t="shared" si="9"/>
        <v>F7</v>
      </c>
      <c r="H98" s="4" t="s">
        <v>88</v>
      </c>
      <c r="I98" s="4" t="s">
        <v>89</v>
      </c>
      <c r="J98" s="23" t="s">
        <v>70</v>
      </c>
      <c r="K98" s="4" t="s">
        <v>204</v>
      </c>
      <c r="L98" t="str">
        <f t="shared" si="7"/>
        <v>PKF7</v>
      </c>
      <c r="M98" s="4" t="str">
        <f t="shared" si="10"/>
        <v>FRIDAY</v>
      </c>
      <c r="N98" s="4" t="str">
        <f t="shared" si="11"/>
        <v>03:00-04:00</v>
      </c>
      <c r="O98" t="str">
        <f t="shared" si="12"/>
        <v>BA403</v>
      </c>
      <c r="P98" t="str">
        <f t="shared" si="13"/>
        <v>Dr. Pramod Kumar Mishra</v>
      </c>
    </row>
    <row r="99" spans="1:16" x14ac:dyDescent="0.3">
      <c r="A99" s="4">
        <v>4</v>
      </c>
      <c r="B99" s="4" t="s">
        <v>139</v>
      </c>
      <c r="C99" s="4" t="s">
        <v>7</v>
      </c>
      <c r="D99" s="4" t="s">
        <v>26</v>
      </c>
      <c r="E99" s="4" t="str">
        <f t="shared" si="8"/>
        <v>F</v>
      </c>
      <c r="F99" s="4">
        <v>8</v>
      </c>
      <c r="G99" s="4" t="str">
        <f t="shared" si="9"/>
        <v>F8</v>
      </c>
      <c r="H99" s="4" t="s">
        <v>88</v>
      </c>
      <c r="I99" s="4" t="s">
        <v>89</v>
      </c>
      <c r="J99" s="23" t="s">
        <v>70</v>
      </c>
      <c r="K99" s="4" t="s">
        <v>204</v>
      </c>
      <c r="L99" t="str">
        <f t="shared" si="7"/>
        <v>PKF8</v>
      </c>
      <c r="M99" s="4" t="str">
        <f t="shared" si="10"/>
        <v>FRIDAY</v>
      </c>
      <c r="N99" s="4" t="str">
        <f t="shared" si="11"/>
        <v>04:00-05:00</v>
      </c>
      <c r="O99" t="str">
        <f t="shared" si="12"/>
        <v>BA403</v>
      </c>
      <c r="P99" t="str">
        <f t="shared" si="13"/>
        <v>Dr. Pramod Kumar Mishra</v>
      </c>
    </row>
    <row r="100" spans="1:16" x14ac:dyDescent="0.3">
      <c r="A100" s="4">
        <v>4</v>
      </c>
      <c r="B100" s="4" t="s">
        <v>139</v>
      </c>
      <c r="C100" s="4" t="s">
        <v>7</v>
      </c>
      <c r="D100" s="4" t="s">
        <v>29</v>
      </c>
      <c r="E100" s="4" t="str">
        <f t="shared" si="8"/>
        <v>F</v>
      </c>
      <c r="F100" s="4">
        <v>9</v>
      </c>
      <c r="G100" s="4" t="str">
        <f t="shared" si="9"/>
        <v>F9</v>
      </c>
      <c r="H100" s="4" t="s">
        <v>96</v>
      </c>
      <c r="I100" s="4" t="s">
        <v>95</v>
      </c>
      <c r="J100" s="4" t="s">
        <v>95</v>
      </c>
      <c r="K100" s="4" t="s">
        <v>95</v>
      </c>
      <c r="L100" t="str">
        <f t="shared" si="7"/>
        <v>NAF9</v>
      </c>
      <c r="M100" s="4" t="str">
        <f t="shared" si="10"/>
        <v>FRIDAY</v>
      </c>
      <c r="N100" s="4" t="str">
        <f t="shared" si="11"/>
        <v>05:00-06:00</v>
      </c>
      <c r="O100" t="str">
        <f t="shared" si="12"/>
        <v>LEISURE</v>
      </c>
      <c r="P100" t="str">
        <f t="shared" si="13"/>
        <v>NA</v>
      </c>
    </row>
    <row r="101" spans="1:16" x14ac:dyDescent="0.3">
      <c r="A101" s="4">
        <v>4</v>
      </c>
      <c r="B101" s="4" t="s">
        <v>139</v>
      </c>
      <c r="C101" s="4" t="s">
        <v>8</v>
      </c>
      <c r="D101" s="4" t="s">
        <v>9</v>
      </c>
      <c r="E101" s="4" t="str">
        <f t="shared" si="8"/>
        <v>S</v>
      </c>
      <c r="F101" s="4">
        <v>1</v>
      </c>
      <c r="G101" s="4" t="str">
        <f t="shared" si="9"/>
        <v>S1</v>
      </c>
      <c r="H101" s="4" t="s">
        <v>96</v>
      </c>
      <c r="I101" s="4" t="s">
        <v>95</v>
      </c>
      <c r="J101" s="4" t="s">
        <v>95</v>
      </c>
      <c r="K101" s="4" t="s">
        <v>95</v>
      </c>
      <c r="L101" t="str">
        <f t="shared" si="7"/>
        <v>NAS1</v>
      </c>
      <c r="M101" s="4" t="str">
        <f t="shared" si="10"/>
        <v>SATURDAY</v>
      </c>
      <c r="N101" s="4" t="str">
        <f t="shared" si="11"/>
        <v>09:00-10:00</v>
      </c>
      <c r="O101" t="str">
        <f t="shared" si="12"/>
        <v>LEISURE</v>
      </c>
      <c r="P101" t="str">
        <f t="shared" si="13"/>
        <v>NA</v>
      </c>
    </row>
    <row r="102" spans="1:16" x14ac:dyDescent="0.3">
      <c r="A102" s="4">
        <v>4</v>
      </c>
      <c r="B102" s="4" t="s">
        <v>139</v>
      </c>
      <c r="C102" s="4" t="s">
        <v>8</v>
      </c>
      <c r="D102" s="4" t="s">
        <v>13</v>
      </c>
      <c r="E102" s="4" t="str">
        <f t="shared" si="8"/>
        <v>S</v>
      </c>
      <c r="F102" s="4">
        <v>2</v>
      </c>
      <c r="G102" s="4" t="str">
        <f t="shared" si="9"/>
        <v>S2</v>
      </c>
      <c r="H102" s="4" t="s">
        <v>96</v>
      </c>
      <c r="I102" s="4" t="s">
        <v>95</v>
      </c>
      <c r="J102" s="4" t="s">
        <v>95</v>
      </c>
      <c r="K102" s="4" t="s">
        <v>95</v>
      </c>
      <c r="L102" t="str">
        <f t="shared" si="7"/>
        <v>NAS2</v>
      </c>
      <c r="M102" s="4" t="str">
        <f t="shared" si="10"/>
        <v>SATURDAY</v>
      </c>
      <c r="N102" s="4" t="str">
        <f t="shared" si="11"/>
        <v>10:00-11:00</v>
      </c>
      <c r="O102" t="str">
        <f t="shared" si="12"/>
        <v>LEISURE</v>
      </c>
      <c r="P102" t="str">
        <f t="shared" si="13"/>
        <v>NA</v>
      </c>
    </row>
    <row r="103" spans="1:16" x14ac:dyDescent="0.3">
      <c r="A103" s="4">
        <v>4</v>
      </c>
      <c r="B103" s="4" t="s">
        <v>139</v>
      </c>
      <c r="C103" s="4" t="s">
        <v>8</v>
      </c>
      <c r="D103" s="4" t="s">
        <v>15</v>
      </c>
      <c r="E103" s="4" t="str">
        <f t="shared" si="8"/>
        <v>S</v>
      </c>
      <c r="F103" s="4">
        <v>3</v>
      </c>
      <c r="G103" s="4" t="str">
        <f t="shared" si="9"/>
        <v>S3</v>
      </c>
      <c r="H103" s="4" t="s">
        <v>96</v>
      </c>
      <c r="I103" s="4" t="s">
        <v>95</v>
      </c>
      <c r="J103" s="4" t="s">
        <v>95</v>
      </c>
      <c r="K103" s="4" t="s">
        <v>95</v>
      </c>
      <c r="L103" t="str">
        <f t="shared" si="7"/>
        <v>NAS3</v>
      </c>
      <c r="M103" s="4" t="str">
        <f t="shared" si="10"/>
        <v>SATURDAY</v>
      </c>
      <c r="N103" s="4" t="str">
        <f t="shared" si="11"/>
        <v>11:00-12:00</v>
      </c>
      <c r="O103" t="str">
        <f t="shared" si="12"/>
        <v>LEISURE</v>
      </c>
      <c r="P103" t="str">
        <f t="shared" si="13"/>
        <v>NA</v>
      </c>
    </row>
    <row r="104" spans="1:16" x14ac:dyDescent="0.3">
      <c r="A104" s="4">
        <v>4</v>
      </c>
      <c r="B104" s="4" t="s">
        <v>139</v>
      </c>
      <c r="C104" s="4" t="s">
        <v>8</v>
      </c>
      <c r="D104" s="4" t="s">
        <v>19</v>
      </c>
      <c r="E104" s="4" t="str">
        <f t="shared" si="8"/>
        <v>S</v>
      </c>
      <c r="F104" s="4">
        <v>4</v>
      </c>
      <c r="G104" s="4" t="str">
        <f t="shared" si="9"/>
        <v>S4</v>
      </c>
      <c r="H104" s="4" t="s">
        <v>96</v>
      </c>
      <c r="I104" s="4" t="s">
        <v>95</v>
      </c>
      <c r="J104" s="4" t="s">
        <v>95</v>
      </c>
      <c r="K104" s="4" t="s">
        <v>95</v>
      </c>
      <c r="L104" t="str">
        <f t="shared" si="7"/>
        <v>NAS4</v>
      </c>
      <c r="M104" s="4" t="str">
        <f t="shared" si="10"/>
        <v>SATURDAY</v>
      </c>
      <c r="N104" s="4" t="str">
        <f t="shared" si="11"/>
        <v>12:00-01:00</v>
      </c>
      <c r="O104" t="str">
        <f t="shared" si="12"/>
        <v>LEISURE</v>
      </c>
      <c r="P104" t="str">
        <f t="shared" si="13"/>
        <v>NA</v>
      </c>
    </row>
    <row r="105" spans="1:16" x14ac:dyDescent="0.3">
      <c r="A105" s="4">
        <v>4</v>
      </c>
      <c r="B105" s="4" t="s">
        <v>139</v>
      </c>
      <c r="C105" s="4" t="s">
        <v>8</v>
      </c>
      <c r="D105" s="4" t="s">
        <v>152</v>
      </c>
      <c r="E105" s="4" t="str">
        <f t="shared" si="8"/>
        <v>S</v>
      </c>
      <c r="F105" s="4">
        <v>5</v>
      </c>
      <c r="G105" s="4" t="str">
        <f t="shared" si="9"/>
        <v>S5</v>
      </c>
      <c r="H105" s="4" t="s">
        <v>94</v>
      </c>
      <c r="I105" s="4" t="s">
        <v>95</v>
      </c>
      <c r="J105" s="4" t="s">
        <v>95</v>
      </c>
      <c r="K105" s="4" t="s">
        <v>95</v>
      </c>
      <c r="L105" t="str">
        <f t="shared" si="7"/>
        <v>NAS5</v>
      </c>
      <c r="M105" s="4" t="str">
        <f t="shared" si="10"/>
        <v>SATURDAY</v>
      </c>
      <c r="N105" s="4" t="str">
        <f t="shared" si="11"/>
        <v>01:00-02:00</v>
      </c>
      <c r="O105" t="str">
        <f t="shared" si="12"/>
        <v>LUNCH</v>
      </c>
      <c r="P105" t="str">
        <f t="shared" si="13"/>
        <v>NA</v>
      </c>
    </row>
    <row r="106" spans="1:16" x14ac:dyDescent="0.3">
      <c r="A106" s="4">
        <v>4</v>
      </c>
      <c r="B106" s="4" t="s">
        <v>139</v>
      </c>
      <c r="C106" s="4" t="s">
        <v>8</v>
      </c>
      <c r="D106" s="4" t="s">
        <v>22</v>
      </c>
      <c r="E106" s="4" t="str">
        <f t="shared" si="8"/>
        <v>S</v>
      </c>
      <c r="F106" s="4">
        <v>6</v>
      </c>
      <c r="G106" s="4" t="str">
        <f t="shared" si="9"/>
        <v>S6</v>
      </c>
      <c r="H106" s="4" t="s">
        <v>96</v>
      </c>
      <c r="I106" s="4" t="s">
        <v>95</v>
      </c>
      <c r="J106" s="4" t="s">
        <v>95</v>
      </c>
      <c r="K106" s="4" t="s">
        <v>95</v>
      </c>
      <c r="L106" t="str">
        <f t="shared" si="7"/>
        <v>NAS6</v>
      </c>
      <c r="M106" s="4" t="str">
        <f t="shared" si="10"/>
        <v>SATURDAY</v>
      </c>
      <c r="N106" s="4" t="str">
        <f t="shared" si="11"/>
        <v>02:00-03:00</v>
      </c>
      <c r="O106" t="str">
        <f t="shared" si="12"/>
        <v>LEISURE</v>
      </c>
      <c r="P106" t="str">
        <f t="shared" si="13"/>
        <v>NA</v>
      </c>
    </row>
    <row r="107" spans="1:16" x14ac:dyDescent="0.3">
      <c r="A107" s="4">
        <v>4</v>
      </c>
      <c r="B107" s="4" t="s">
        <v>139</v>
      </c>
      <c r="C107" s="4" t="s">
        <v>8</v>
      </c>
      <c r="D107" s="4" t="s">
        <v>25</v>
      </c>
      <c r="E107" s="4" t="str">
        <f t="shared" si="8"/>
        <v>S</v>
      </c>
      <c r="F107" s="4">
        <v>7</v>
      </c>
      <c r="G107" s="4" t="str">
        <f t="shared" si="9"/>
        <v>S7</v>
      </c>
      <c r="H107" s="4" t="s">
        <v>96</v>
      </c>
      <c r="I107" s="4" t="s">
        <v>95</v>
      </c>
      <c r="J107" s="4" t="s">
        <v>95</v>
      </c>
      <c r="K107" s="4" t="s">
        <v>95</v>
      </c>
      <c r="L107" t="str">
        <f t="shared" si="7"/>
        <v>NAS7</v>
      </c>
      <c r="M107" s="4" t="str">
        <f t="shared" si="10"/>
        <v>SATURDAY</v>
      </c>
      <c r="N107" s="4" t="str">
        <f t="shared" si="11"/>
        <v>03:00-04:00</v>
      </c>
      <c r="O107" t="str">
        <f t="shared" si="12"/>
        <v>LEISURE</v>
      </c>
      <c r="P107" t="str">
        <f t="shared" si="13"/>
        <v>NA</v>
      </c>
    </row>
    <row r="108" spans="1:16" x14ac:dyDescent="0.3">
      <c r="A108" s="4">
        <v>4</v>
      </c>
      <c r="B108" s="4" t="s">
        <v>139</v>
      </c>
      <c r="C108" s="4" t="s">
        <v>8</v>
      </c>
      <c r="D108" s="4" t="s">
        <v>26</v>
      </c>
      <c r="E108" s="4" t="str">
        <f t="shared" si="8"/>
        <v>S</v>
      </c>
      <c r="F108" s="4">
        <v>8</v>
      </c>
      <c r="G108" s="4" t="str">
        <f t="shared" si="9"/>
        <v>S8</v>
      </c>
      <c r="H108" s="4" t="s">
        <v>96</v>
      </c>
      <c r="I108" s="4" t="s">
        <v>95</v>
      </c>
      <c r="J108" s="4" t="s">
        <v>95</v>
      </c>
      <c r="K108" s="4" t="s">
        <v>95</v>
      </c>
      <c r="L108" t="str">
        <f t="shared" si="7"/>
        <v>NAS8</v>
      </c>
      <c r="M108" s="4" t="str">
        <f t="shared" si="10"/>
        <v>SATURDAY</v>
      </c>
      <c r="N108" s="4" t="str">
        <f t="shared" si="11"/>
        <v>04:00-05:00</v>
      </c>
      <c r="O108" t="str">
        <f t="shared" si="12"/>
        <v>LEISURE</v>
      </c>
      <c r="P108" t="str">
        <f t="shared" si="13"/>
        <v>NA</v>
      </c>
    </row>
    <row r="109" spans="1:16" x14ac:dyDescent="0.3">
      <c r="A109" s="4">
        <v>4</v>
      </c>
      <c r="B109" s="4" t="s">
        <v>139</v>
      </c>
      <c r="C109" s="4" t="s">
        <v>8</v>
      </c>
      <c r="D109" s="4" t="s">
        <v>29</v>
      </c>
      <c r="E109" s="4" t="str">
        <f t="shared" si="8"/>
        <v>S</v>
      </c>
      <c r="F109" s="4">
        <v>9</v>
      </c>
      <c r="G109" s="4" t="str">
        <f t="shared" si="9"/>
        <v>S9</v>
      </c>
      <c r="H109" s="4" t="s">
        <v>96</v>
      </c>
      <c r="I109" s="4" t="s">
        <v>95</v>
      </c>
      <c r="J109" s="4" t="s">
        <v>95</v>
      </c>
      <c r="K109" s="4" t="s">
        <v>95</v>
      </c>
      <c r="L109" t="str">
        <f t="shared" si="7"/>
        <v>NAS9</v>
      </c>
      <c r="M109" s="4" t="str">
        <f t="shared" si="10"/>
        <v>SATURDAY</v>
      </c>
      <c r="N109" s="4" t="str">
        <f t="shared" si="11"/>
        <v>05:00-06:00</v>
      </c>
      <c r="O109" t="str">
        <f t="shared" si="12"/>
        <v>LEISURE</v>
      </c>
      <c r="P109" t="str">
        <f t="shared" si="13"/>
        <v>NA</v>
      </c>
    </row>
    <row r="110" spans="1:16" x14ac:dyDescent="0.3">
      <c r="A110" s="4">
        <v>2</v>
      </c>
      <c r="B110" s="4" t="s">
        <v>157</v>
      </c>
      <c r="C110" s="4" t="s">
        <v>3</v>
      </c>
      <c r="D110" s="4" t="s">
        <v>9</v>
      </c>
      <c r="E110" s="4" t="str">
        <f t="shared" si="8"/>
        <v>M</v>
      </c>
      <c r="F110" s="4">
        <v>1</v>
      </c>
      <c r="G110" s="4" t="str">
        <f t="shared" si="9"/>
        <v>M1</v>
      </c>
      <c r="H110" s="4" t="s">
        <v>100</v>
      </c>
      <c r="I110" s="23" t="s">
        <v>69</v>
      </c>
      <c r="J110" s="23" t="s">
        <v>70</v>
      </c>
      <c r="K110" s="4" t="s">
        <v>204</v>
      </c>
      <c r="L110" t="str">
        <f t="shared" si="7"/>
        <v>PKM1</v>
      </c>
      <c r="M110" s="4" t="str">
        <f t="shared" si="10"/>
        <v>MONDAY</v>
      </c>
      <c r="N110" s="4" t="str">
        <f t="shared" si="11"/>
        <v>09:00-10:00</v>
      </c>
      <c r="O110" t="str">
        <f t="shared" si="12"/>
        <v>GE202</v>
      </c>
      <c r="P110" t="str">
        <f t="shared" si="13"/>
        <v>Dr. Pramod Kumar Mishra</v>
      </c>
    </row>
    <row r="111" spans="1:16" x14ac:dyDescent="0.3">
      <c r="A111" s="4">
        <v>2</v>
      </c>
      <c r="B111" s="4" t="s">
        <v>157</v>
      </c>
      <c r="C111" s="4" t="s">
        <v>3</v>
      </c>
      <c r="D111" s="4" t="s">
        <v>13</v>
      </c>
      <c r="E111" s="4" t="str">
        <f t="shared" si="8"/>
        <v>M</v>
      </c>
      <c r="F111" s="4">
        <v>2</v>
      </c>
      <c r="G111" s="4" t="str">
        <f t="shared" si="9"/>
        <v>M2</v>
      </c>
      <c r="H111" s="4" t="s">
        <v>100</v>
      </c>
      <c r="I111" s="23" t="s">
        <v>69</v>
      </c>
      <c r="J111" s="23" t="s">
        <v>70</v>
      </c>
      <c r="K111" s="4" t="s">
        <v>204</v>
      </c>
      <c r="L111" t="str">
        <f t="shared" si="7"/>
        <v>PKM2</v>
      </c>
      <c r="M111" s="4" t="str">
        <f t="shared" si="10"/>
        <v>MONDAY</v>
      </c>
      <c r="N111" s="4" t="str">
        <f t="shared" si="11"/>
        <v>10:00-11:00</v>
      </c>
      <c r="O111" t="str">
        <f t="shared" si="12"/>
        <v>GE202</v>
      </c>
      <c r="P111" t="str">
        <f t="shared" si="13"/>
        <v>Dr. Pramod Kumar Mishra</v>
      </c>
    </row>
    <row r="112" spans="1:16" x14ac:dyDescent="0.3">
      <c r="A112" s="4">
        <v>2</v>
      </c>
      <c r="B112" s="4" t="s">
        <v>157</v>
      </c>
      <c r="C112" s="4" t="s">
        <v>3</v>
      </c>
      <c r="D112" s="4" t="s">
        <v>15</v>
      </c>
      <c r="E112" s="4" t="str">
        <f t="shared" si="8"/>
        <v>M</v>
      </c>
      <c r="F112" s="4">
        <v>3</v>
      </c>
      <c r="G112" s="4" t="str">
        <f t="shared" si="9"/>
        <v>M3</v>
      </c>
      <c r="H112" s="4" t="s">
        <v>96</v>
      </c>
      <c r="I112" s="4" t="s">
        <v>95</v>
      </c>
      <c r="J112" s="4" t="s">
        <v>95</v>
      </c>
      <c r="K112" s="4" t="s">
        <v>95</v>
      </c>
      <c r="L112" t="str">
        <f t="shared" si="7"/>
        <v>NAM3</v>
      </c>
      <c r="M112" s="4" t="str">
        <f t="shared" si="10"/>
        <v>MONDAY</v>
      </c>
      <c r="N112" s="4" t="str">
        <f t="shared" si="11"/>
        <v>11:00-12:00</v>
      </c>
      <c r="O112" t="str">
        <f t="shared" si="12"/>
        <v>LEISURE</v>
      </c>
      <c r="P112" t="str">
        <f t="shared" si="13"/>
        <v>NA</v>
      </c>
    </row>
    <row r="113" spans="1:16" x14ac:dyDescent="0.3">
      <c r="A113" s="4">
        <v>2</v>
      </c>
      <c r="B113" s="4" t="s">
        <v>157</v>
      </c>
      <c r="C113" s="4" t="s">
        <v>3</v>
      </c>
      <c r="D113" s="4" t="s">
        <v>19</v>
      </c>
      <c r="E113" s="4" t="str">
        <f t="shared" si="8"/>
        <v>M</v>
      </c>
      <c r="F113" s="4">
        <v>4</v>
      </c>
      <c r="G113" s="4" t="str">
        <f t="shared" si="9"/>
        <v>M4</v>
      </c>
      <c r="H113" s="4" t="s">
        <v>96</v>
      </c>
      <c r="I113" s="4" t="s">
        <v>95</v>
      </c>
      <c r="J113" s="4" t="s">
        <v>95</v>
      </c>
      <c r="K113" s="4" t="s">
        <v>95</v>
      </c>
      <c r="L113" t="str">
        <f t="shared" si="7"/>
        <v>NAM4</v>
      </c>
      <c r="M113" s="4" t="str">
        <f t="shared" si="10"/>
        <v>MONDAY</v>
      </c>
      <c r="N113" s="4" t="str">
        <f t="shared" si="11"/>
        <v>12:00-01:00</v>
      </c>
      <c r="O113" t="str">
        <f t="shared" si="12"/>
        <v>LEISURE</v>
      </c>
      <c r="P113" t="str">
        <f t="shared" si="13"/>
        <v>NA</v>
      </c>
    </row>
    <row r="114" spans="1:16" x14ac:dyDescent="0.3">
      <c r="A114" s="4">
        <v>2</v>
      </c>
      <c r="B114" s="4" t="s">
        <v>157</v>
      </c>
      <c r="C114" s="4" t="s">
        <v>3</v>
      </c>
      <c r="D114" s="4" t="s">
        <v>152</v>
      </c>
      <c r="E114" s="4" t="str">
        <f t="shared" si="8"/>
        <v>M</v>
      </c>
      <c r="F114" s="4">
        <v>5</v>
      </c>
      <c r="G114" s="4" t="str">
        <f t="shared" si="9"/>
        <v>M5</v>
      </c>
      <c r="H114" s="4" t="s">
        <v>94</v>
      </c>
      <c r="I114" s="4" t="s">
        <v>95</v>
      </c>
      <c r="J114" s="4" t="s">
        <v>95</v>
      </c>
      <c r="K114" s="4" t="s">
        <v>95</v>
      </c>
      <c r="L114" t="str">
        <f t="shared" si="7"/>
        <v>NAM5</v>
      </c>
      <c r="M114" s="4" t="str">
        <f t="shared" si="10"/>
        <v>MONDAY</v>
      </c>
      <c r="N114" s="4" t="str">
        <f t="shared" si="11"/>
        <v>01:00-02:00</v>
      </c>
      <c r="O114" t="str">
        <f t="shared" si="12"/>
        <v>LUNCH</v>
      </c>
      <c r="P114" t="str">
        <f t="shared" si="13"/>
        <v>NA</v>
      </c>
    </row>
    <row r="115" spans="1:16" x14ac:dyDescent="0.3">
      <c r="A115" s="4">
        <v>2</v>
      </c>
      <c r="B115" s="4" t="s">
        <v>157</v>
      </c>
      <c r="C115" s="4" t="s">
        <v>3</v>
      </c>
      <c r="D115" s="4" t="s">
        <v>22</v>
      </c>
      <c r="E115" s="4" t="str">
        <f t="shared" si="8"/>
        <v>M</v>
      </c>
      <c r="F115" s="4">
        <v>6</v>
      </c>
      <c r="G115" s="4" t="str">
        <f t="shared" si="9"/>
        <v>M6</v>
      </c>
      <c r="H115" s="4" t="s">
        <v>109</v>
      </c>
      <c r="I115" s="4" t="s">
        <v>123</v>
      </c>
      <c r="J115" s="4" t="s">
        <v>122</v>
      </c>
      <c r="K115" s="4" t="s">
        <v>206</v>
      </c>
      <c r="L115" t="str">
        <f t="shared" si="7"/>
        <v>CSM6</v>
      </c>
      <c r="M115" s="4" t="str">
        <f t="shared" si="10"/>
        <v>MONDAY</v>
      </c>
      <c r="N115" s="4" t="str">
        <f t="shared" si="11"/>
        <v>02:00-03:00</v>
      </c>
      <c r="O115" t="str">
        <f t="shared" si="12"/>
        <v>GE204</v>
      </c>
      <c r="P115" t="str">
        <f t="shared" si="13"/>
        <v>Prof. Chetan Srivastava</v>
      </c>
    </row>
    <row r="116" spans="1:16" x14ac:dyDescent="0.3">
      <c r="A116" s="4">
        <v>2</v>
      </c>
      <c r="B116" s="4" t="s">
        <v>157</v>
      </c>
      <c r="C116" s="4" t="s">
        <v>3</v>
      </c>
      <c r="D116" s="4" t="s">
        <v>25</v>
      </c>
      <c r="E116" s="4" t="str">
        <f t="shared" si="8"/>
        <v>M</v>
      </c>
      <c r="F116" s="4">
        <v>7</v>
      </c>
      <c r="G116" s="4" t="str">
        <f t="shared" si="9"/>
        <v>M7</v>
      </c>
      <c r="H116" s="4" t="s">
        <v>109</v>
      </c>
      <c r="I116" s="4" t="s">
        <v>123</v>
      </c>
      <c r="J116" s="4" t="s">
        <v>122</v>
      </c>
      <c r="K116" s="4" t="s">
        <v>206</v>
      </c>
      <c r="L116" t="str">
        <f t="shared" si="7"/>
        <v>CSM7</v>
      </c>
      <c r="M116" s="4" t="str">
        <f t="shared" si="10"/>
        <v>MONDAY</v>
      </c>
      <c r="N116" s="4" t="str">
        <f t="shared" si="11"/>
        <v>03:00-04:00</v>
      </c>
      <c r="O116" t="str">
        <f t="shared" si="12"/>
        <v>GE204</v>
      </c>
      <c r="P116" t="str">
        <f t="shared" si="13"/>
        <v>Prof. Chetan Srivastava</v>
      </c>
    </row>
    <row r="117" spans="1:16" x14ac:dyDescent="0.3">
      <c r="A117" s="4">
        <v>2</v>
      </c>
      <c r="B117" s="4" t="s">
        <v>157</v>
      </c>
      <c r="C117" s="4" t="s">
        <v>3</v>
      </c>
      <c r="D117" s="4" t="s">
        <v>26</v>
      </c>
      <c r="E117" s="4" t="str">
        <f t="shared" si="8"/>
        <v>M</v>
      </c>
      <c r="F117" s="4">
        <v>8</v>
      </c>
      <c r="G117" s="4" t="str">
        <f t="shared" si="9"/>
        <v>M8</v>
      </c>
      <c r="H117" s="4" t="s">
        <v>96</v>
      </c>
      <c r="I117" s="4" t="s">
        <v>95</v>
      </c>
      <c r="J117" s="4" t="s">
        <v>95</v>
      </c>
      <c r="K117" s="4" t="s">
        <v>95</v>
      </c>
      <c r="L117" t="str">
        <f t="shared" si="7"/>
        <v>NAM8</v>
      </c>
      <c r="M117" s="4" t="str">
        <f t="shared" si="10"/>
        <v>MONDAY</v>
      </c>
      <c r="N117" s="4" t="str">
        <f t="shared" si="11"/>
        <v>04:00-05:00</v>
      </c>
      <c r="O117" t="str">
        <f t="shared" si="12"/>
        <v>LEISURE</v>
      </c>
      <c r="P117" t="str">
        <f t="shared" si="13"/>
        <v>NA</v>
      </c>
    </row>
    <row r="118" spans="1:16" x14ac:dyDescent="0.3">
      <c r="A118" s="4">
        <v>2</v>
      </c>
      <c r="B118" s="4" t="s">
        <v>157</v>
      </c>
      <c r="C118" s="4" t="s">
        <v>3</v>
      </c>
      <c r="D118" s="4" t="s">
        <v>29</v>
      </c>
      <c r="E118" s="4" t="str">
        <f t="shared" si="8"/>
        <v>M</v>
      </c>
      <c r="F118" s="4">
        <v>9</v>
      </c>
      <c r="G118" s="4" t="str">
        <f t="shared" si="9"/>
        <v>M9</v>
      </c>
      <c r="H118" s="4" t="s">
        <v>96</v>
      </c>
      <c r="I118" s="4" t="s">
        <v>95</v>
      </c>
      <c r="J118" s="4" t="s">
        <v>95</v>
      </c>
      <c r="K118" s="4" t="s">
        <v>95</v>
      </c>
      <c r="L118" t="str">
        <f t="shared" si="7"/>
        <v>NAM9</v>
      </c>
      <c r="M118" s="4" t="str">
        <f t="shared" si="10"/>
        <v>MONDAY</v>
      </c>
      <c r="N118" s="4" t="str">
        <f t="shared" si="11"/>
        <v>05:00-06:00</v>
      </c>
      <c r="O118" t="str">
        <f t="shared" si="12"/>
        <v>LEISURE</v>
      </c>
      <c r="P118" t="str">
        <f t="shared" si="13"/>
        <v>NA</v>
      </c>
    </row>
    <row r="119" spans="1:16" x14ac:dyDescent="0.3">
      <c r="A119" s="4">
        <v>2</v>
      </c>
      <c r="B119" s="4" t="s">
        <v>157</v>
      </c>
      <c r="C119" s="4" t="s">
        <v>4</v>
      </c>
      <c r="D119" s="4" t="s">
        <v>9</v>
      </c>
      <c r="E119" s="4" t="str">
        <f t="shared" si="8"/>
        <v>T</v>
      </c>
      <c r="F119" s="4">
        <v>1</v>
      </c>
      <c r="G119" s="4" t="str">
        <f t="shared" si="9"/>
        <v>T1</v>
      </c>
      <c r="H119" s="4" t="s">
        <v>96</v>
      </c>
      <c r="I119" s="4" t="s">
        <v>95</v>
      </c>
      <c r="J119" s="4" t="s">
        <v>95</v>
      </c>
      <c r="K119" s="4" t="s">
        <v>95</v>
      </c>
      <c r="L119" t="str">
        <f t="shared" si="7"/>
        <v>NAT1</v>
      </c>
      <c r="M119" s="4" t="str">
        <f t="shared" si="10"/>
        <v>TUESDAY</v>
      </c>
      <c r="N119" s="4" t="str">
        <f t="shared" si="11"/>
        <v>09:00-10:00</v>
      </c>
      <c r="O119" t="str">
        <f t="shared" si="12"/>
        <v>LEISURE</v>
      </c>
      <c r="P119" t="str">
        <f t="shared" si="13"/>
        <v>NA</v>
      </c>
    </row>
    <row r="120" spans="1:16" x14ac:dyDescent="0.3">
      <c r="A120" s="4">
        <v>2</v>
      </c>
      <c r="B120" s="4" t="s">
        <v>157</v>
      </c>
      <c r="C120" s="4" t="s">
        <v>4</v>
      </c>
      <c r="D120" s="4" t="s">
        <v>13</v>
      </c>
      <c r="E120" s="4" t="str">
        <f t="shared" si="8"/>
        <v>T</v>
      </c>
      <c r="F120" s="4">
        <v>2</v>
      </c>
      <c r="G120" s="4" t="str">
        <f t="shared" si="9"/>
        <v>T2</v>
      </c>
      <c r="H120" s="4" t="s">
        <v>96</v>
      </c>
      <c r="I120" s="4" t="s">
        <v>95</v>
      </c>
      <c r="J120" s="4" t="s">
        <v>95</v>
      </c>
      <c r="K120" s="4" t="s">
        <v>95</v>
      </c>
      <c r="L120" t="str">
        <f t="shared" si="7"/>
        <v>NAT2</v>
      </c>
      <c r="M120" s="4" t="str">
        <f t="shared" si="10"/>
        <v>TUESDAY</v>
      </c>
      <c r="N120" s="4" t="str">
        <f t="shared" si="11"/>
        <v>10:00-11:00</v>
      </c>
      <c r="O120" t="str">
        <f t="shared" si="12"/>
        <v>LEISURE</v>
      </c>
      <c r="P120" t="str">
        <f t="shared" si="13"/>
        <v>NA</v>
      </c>
    </row>
    <row r="121" spans="1:16" x14ac:dyDescent="0.3">
      <c r="A121" s="4">
        <v>2</v>
      </c>
      <c r="B121" s="4" t="s">
        <v>157</v>
      </c>
      <c r="C121" s="4" t="s">
        <v>4</v>
      </c>
      <c r="D121" s="4" t="s">
        <v>15</v>
      </c>
      <c r="E121" s="4" t="str">
        <f t="shared" si="8"/>
        <v>T</v>
      </c>
      <c r="F121" s="4">
        <v>3</v>
      </c>
      <c r="G121" s="4" t="str">
        <f t="shared" si="9"/>
        <v>T3</v>
      </c>
      <c r="H121" s="4" t="s">
        <v>107</v>
      </c>
      <c r="I121" s="4" t="s">
        <v>33</v>
      </c>
      <c r="J121" s="4" t="s">
        <v>158</v>
      </c>
      <c r="K121" s="4" t="s">
        <v>198</v>
      </c>
      <c r="L121" t="str">
        <f t="shared" si="7"/>
        <v>PST3</v>
      </c>
      <c r="M121" s="4" t="str">
        <f t="shared" si="10"/>
        <v>TUESDAY</v>
      </c>
      <c r="N121" s="4" t="str">
        <f t="shared" si="11"/>
        <v>11:00-12:00</v>
      </c>
      <c r="O121" t="str">
        <f t="shared" si="12"/>
        <v>GE203</v>
      </c>
      <c r="P121" t="str">
        <f t="shared" si="13"/>
        <v>Dr.Punam Singh</v>
      </c>
    </row>
    <row r="122" spans="1:16" x14ac:dyDescent="0.3">
      <c r="A122" s="4">
        <v>2</v>
      </c>
      <c r="B122" s="4" t="s">
        <v>157</v>
      </c>
      <c r="C122" s="4" t="s">
        <v>4</v>
      </c>
      <c r="D122" s="4" t="s">
        <v>19</v>
      </c>
      <c r="E122" s="4" t="str">
        <f t="shared" si="8"/>
        <v>T</v>
      </c>
      <c r="F122" s="4">
        <v>4</v>
      </c>
      <c r="G122" s="4" t="str">
        <f t="shared" si="9"/>
        <v>T4</v>
      </c>
      <c r="H122" s="4" t="s">
        <v>107</v>
      </c>
      <c r="I122" s="4" t="s">
        <v>33</v>
      </c>
      <c r="J122" s="4" t="s">
        <v>158</v>
      </c>
      <c r="K122" s="4" t="s">
        <v>198</v>
      </c>
      <c r="L122" t="str">
        <f t="shared" si="7"/>
        <v>PST4</v>
      </c>
      <c r="M122" s="4" t="str">
        <f t="shared" si="10"/>
        <v>TUESDAY</v>
      </c>
      <c r="N122" s="4" t="str">
        <f t="shared" si="11"/>
        <v>12:00-01:00</v>
      </c>
      <c r="O122" t="str">
        <f t="shared" si="12"/>
        <v>GE203</v>
      </c>
      <c r="P122" t="str">
        <f t="shared" si="13"/>
        <v>Dr.Punam Singh</v>
      </c>
    </row>
    <row r="123" spans="1:16" x14ac:dyDescent="0.3">
      <c r="A123" s="4">
        <v>2</v>
      </c>
      <c r="B123" s="4" t="s">
        <v>157</v>
      </c>
      <c r="C123" s="4" t="s">
        <v>4</v>
      </c>
      <c r="D123" s="4" t="s">
        <v>152</v>
      </c>
      <c r="E123" s="4" t="str">
        <f t="shared" si="8"/>
        <v>T</v>
      </c>
      <c r="F123" s="4">
        <v>5</v>
      </c>
      <c r="G123" s="4" t="str">
        <f t="shared" si="9"/>
        <v>T5</v>
      </c>
      <c r="H123" s="4" t="s">
        <v>94</v>
      </c>
      <c r="I123" s="4" t="s">
        <v>95</v>
      </c>
      <c r="J123" s="4" t="s">
        <v>95</v>
      </c>
      <c r="K123" s="4" t="s">
        <v>95</v>
      </c>
      <c r="L123" t="str">
        <f t="shared" si="7"/>
        <v>NAT5</v>
      </c>
      <c r="M123" s="4" t="str">
        <f t="shared" si="10"/>
        <v>TUESDAY</v>
      </c>
      <c r="N123" s="4" t="str">
        <f t="shared" si="11"/>
        <v>01:00-02:00</v>
      </c>
      <c r="O123" t="str">
        <f t="shared" si="12"/>
        <v>LUNCH</v>
      </c>
      <c r="P123" t="str">
        <f t="shared" si="13"/>
        <v>NA</v>
      </c>
    </row>
    <row r="124" spans="1:16" x14ac:dyDescent="0.3">
      <c r="A124" s="4">
        <v>2</v>
      </c>
      <c r="B124" s="4" t="s">
        <v>157</v>
      </c>
      <c r="C124" s="4" t="s">
        <v>4</v>
      </c>
      <c r="D124" s="4" t="s">
        <v>22</v>
      </c>
      <c r="E124" s="4" t="str">
        <f t="shared" si="8"/>
        <v>T</v>
      </c>
      <c r="F124" s="4">
        <v>6</v>
      </c>
      <c r="G124" s="4" t="str">
        <f t="shared" si="9"/>
        <v>T6</v>
      </c>
      <c r="H124" s="4" t="s">
        <v>96</v>
      </c>
      <c r="I124" s="4" t="s">
        <v>95</v>
      </c>
      <c r="J124" s="4" t="s">
        <v>95</v>
      </c>
      <c r="K124" s="4" t="s">
        <v>95</v>
      </c>
      <c r="L124" t="str">
        <f t="shared" si="7"/>
        <v>NAT6</v>
      </c>
      <c r="M124" s="4" t="str">
        <f t="shared" si="10"/>
        <v>TUESDAY</v>
      </c>
      <c r="N124" s="4" t="str">
        <f t="shared" si="11"/>
        <v>02:00-03:00</v>
      </c>
      <c r="O124" t="str">
        <f t="shared" si="12"/>
        <v>LEISURE</v>
      </c>
      <c r="P124" t="str">
        <f t="shared" si="13"/>
        <v>NA</v>
      </c>
    </row>
    <row r="125" spans="1:16" x14ac:dyDescent="0.3">
      <c r="A125" s="4">
        <v>2</v>
      </c>
      <c r="B125" s="4" t="s">
        <v>157</v>
      </c>
      <c r="C125" s="4" t="s">
        <v>4</v>
      </c>
      <c r="D125" s="4" t="s">
        <v>25</v>
      </c>
      <c r="E125" s="4" t="str">
        <f t="shared" si="8"/>
        <v>T</v>
      </c>
      <c r="F125" s="4">
        <v>7</v>
      </c>
      <c r="G125" s="4" t="str">
        <f t="shared" si="9"/>
        <v>T7</v>
      </c>
      <c r="H125" s="4" t="s">
        <v>96</v>
      </c>
      <c r="I125" s="4" t="s">
        <v>95</v>
      </c>
      <c r="J125" s="4" t="s">
        <v>95</v>
      </c>
      <c r="K125" s="4" t="s">
        <v>95</v>
      </c>
      <c r="L125" t="str">
        <f t="shared" si="7"/>
        <v>NAT7</v>
      </c>
      <c r="M125" s="4" t="str">
        <f t="shared" si="10"/>
        <v>TUESDAY</v>
      </c>
      <c r="N125" s="4" t="str">
        <f t="shared" si="11"/>
        <v>03:00-04:00</v>
      </c>
      <c r="O125" t="str">
        <f t="shared" si="12"/>
        <v>LEISURE</v>
      </c>
      <c r="P125" t="str">
        <f t="shared" si="13"/>
        <v>NA</v>
      </c>
    </row>
    <row r="126" spans="1:16" x14ac:dyDescent="0.3">
      <c r="A126" s="4">
        <v>2</v>
      </c>
      <c r="B126" s="4" t="s">
        <v>157</v>
      </c>
      <c r="C126" s="4" t="s">
        <v>4</v>
      </c>
      <c r="D126" s="4" t="s">
        <v>26</v>
      </c>
      <c r="E126" s="4" t="str">
        <f t="shared" si="8"/>
        <v>T</v>
      </c>
      <c r="F126" s="4">
        <v>8</v>
      </c>
      <c r="G126" s="4" t="str">
        <f t="shared" si="9"/>
        <v>T8</v>
      </c>
      <c r="H126" s="4" t="s">
        <v>96</v>
      </c>
      <c r="I126" s="4" t="s">
        <v>95</v>
      </c>
      <c r="J126" s="4" t="s">
        <v>95</v>
      </c>
      <c r="K126" s="4" t="s">
        <v>95</v>
      </c>
      <c r="L126" t="str">
        <f t="shared" si="7"/>
        <v>NAT8</v>
      </c>
      <c r="M126" s="4" t="str">
        <f t="shared" si="10"/>
        <v>TUESDAY</v>
      </c>
      <c r="N126" s="4" t="str">
        <f t="shared" si="11"/>
        <v>04:00-05:00</v>
      </c>
      <c r="O126" t="str">
        <f t="shared" si="12"/>
        <v>LEISURE</v>
      </c>
      <c r="P126" t="str">
        <f t="shared" si="13"/>
        <v>NA</v>
      </c>
    </row>
    <row r="127" spans="1:16" x14ac:dyDescent="0.3">
      <c r="A127" s="4">
        <v>2</v>
      </c>
      <c r="B127" s="4" t="s">
        <v>157</v>
      </c>
      <c r="C127" s="4" t="s">
        <v>4</v>
      </c>
      <c r="D127" s="4" t="s">
        <v>29</v>
      </c>
      <c r="E127" s="4" t="str">
        <f t="shared" si="8"/>
        <v>T</v>
      </c>
      <c r="F127" s="4">
        <v>9</v>
      </c>
      <c r="G127" s="4" t="str">
        <f t="shared" si="9"/>
        <v>T9</v>
      </c>
      <c r="H127" s="4" t="s">
        <v>96</v>
      </c>
      <c r="I127" s="4" t="s">
        <v>95</v>
      </c>
      <c r="J127" s="4" t="s">
        <v>95</v>
      </c>
      <c r="K127" s="4" t="s">
        <v>95</v>
      </c>
      <c r="L127" t="str">
        <f t="shared" si="7"/>
        <v>NAT9</v>
      </c>
      <c r="M127" s="4" t="str">
        <f t="shared" si="10"/>
        <v>TUESDAY</v>
      </c>
      <c r="N127" s="4" t="str">
        <f t="shared" si="11"/>
        <v>05:00-06:00</v>
      </c>
      <c r="O127" t="str">
        <f t="shared" si="12"/>
        <v>LEISURE</v>
      </c>
      <c r="P127" t="str">
        <f t="shared" si="13"/>
        <v>NA</v>
      </c>
    </row>
    <row r="128" spans="1:16" x14ac:dyDescent="0.3">
      <c r="A128" s="4">
        <v>2</v>
      </c>
      <c r="B128" s="4" t="s">
        <v>157</v>
      </c>
      <c r="C128" s="4" t="s">
        <v>5</v>
      </c>
      <c r="D128" s="4" t="s">
        <v>9</v>
      </c>
      <c r="E128" s="4" t="str">
        <f t="shared" si="8"/>
        <v>W</v>
      </c>
      <c r="F128" s="4">
        <v>1</v>
      </c>
      <c r="G128" s="4" t="str">
        <f t="shared" si="9"/>
        <v>W1</v>
      </c>
      <c r="H128" s="4" t="s">
        <v>96</v>
      </c>
      <c r="I128" s="4" t="s">
        <v>95</v>
      </c>
      <c r="J128" s="4" t="s">
        <v>95</v>
      </c>
      <c r="K128" s="4" t="s">
        <v>95</v>
      </c>
      <c r="L128" t="str">
        <f t="shared" si="7"/>
        <v>NAW1</v>
      </c>
      <c r="M128" s="4" t="str">
        <f t="shared" si="10"/>
        <v>WEDNESDAY</v>
      </c>
      <c r="N128" s="4" t="str">
        <f t="shared" si="11"/>
        <v>09:00-10:00</v>
      </c>
      <c r="O128" t="str">
        <f t="shared" si="12"/>
        <v>LEISURE</v>
      </c>
      <c r="P128" t="str">
        <f t="shared" si="13"/>
        <v>NA</v>
      </c>
    </row>
    <row r="129" spans="1:16" x14ac:dyDescent="0.3">
      <c r="A129" s="4">
        <v>2</v>
      </c>
      <c r="B129" s="4" t="s">
        <v>157</v>
      </c>
      <c r="C129" s="4" t="s">
        <v>5</v>
      </c>
      <c r="D129" s="4" t="s">
        <v>13</v>
      </c>
      <c r="E129" s="4" t="str">
        <f t="shared" si="8"/>
        <v>W</v>
      </c>
      <c r="F129" s="4">
        <v>2</v>
      </c>
      <c r="G129" s="4" t="str">
        <f t="shared" si="9"/>
        <v>W2</v>
      </c>
      <c r="H129" s="4" t="s">
        <v>104</v>
      </c>
      <c r="I129" s="4" t="s">
        <v>35</v>
      </c>
      <c r="J129" s="4" t="s">
        <v>126</v>
      </c>
      <c r="K129" s="4" t="s">
        <v>202</v>
      </c>
      <c r="L129" t="str">
        <f t="shared" si="7"/>
        <v>KRW2</v>
      </c>
      <c r="M129" s="4" t="str">
        <f t="shared" si="10"/>
        <v>WEDNESDAY</v>
      </c>
      <c r="N129" s="4" t="str">
        <f t="shared" si="11"/>
        <v>10:00-11:00</v>
      </c>
      <c r="O129" t="str">
        <f t="shared" si="12"/>
        <v>GE205</v>
      </c>
      <c r="P129" t="str">
        <f t="shared" si="13"/>
        <v>Dr. K. Ramulu</v>
      </c>
    </row>
    <row r="130" spans="1:16" x14ac:dyDescent="0.3">
      <c r="A130" s="4">
        <v>2</v>
      </c>
      <c r="B130" s="4" t="s">
        <v>157</v>
      </c>
      <c r="C130" s="4" t="s">
        <v>5</v>
      </c>
      <c r="D130" s="4" t="s">
        <v>15</v>
      </c>
      <c r="E130" s="4" t="str">
        <f t="shared" si="8"/>
        <v>W</v>
      </c>
      <c r="F130" s="4">
        <v>3</v>
      </c>
      <c r="G130" s="4" t="str">
        <f t="shared" si="9"/>
        <v>W3</v>
      </c>
      <c r="H130" s="4" t="s">
        <v>104</v>
      </c>
      <c r="I130" s="4" t="s">
        <v>35</v>
      </c>
      <c r="J130" s="4" t="s">
        <v>126</v>
      </c>
      <c r="K130" s="4" t="s">
        <v>202</v>
      </c>
      <c r="L130" t="str">
        <f t="shared" ref="L130:L193" si="14">_xlfn.CONCAT(K130,G130)</f>
        <v>KRW3</v>
      </c>
      <c r="M130" s="4" t="str">
        <f t="shared" si="10"/>
        <v>WEDNESDAY</v>
      </c>
      <c r="N130" s="4" t="str">
        <f t="shared" si="11"/>
        <v>11:00-12:00</v>
      </c>
      <c r="O130" t="str">
        <f t="shared" si="12"/>
        <v>GE205</v>
      </c>
      <c r="P130" t="str">
        <f t="shared" si="13"/>
        <v>Dr. K. Ramulu</v>
      </c>
    </row>
    <row r="131" spans="1:16" x14ac:dyDescent="0.3">
      <c r="A131" s="4">
        <v>2</v>
      </c>
      <c r="B131" s="4" t="s">
        <v>157</v>
      </c>
      <c r="C131" s="4" t="s">
        <v>5</v>
      </c>
      <c r="D131" s="4" t="s">
        <v>19</v>
      </c>
      <c r="E131" s="4" t="str">
        <f t="shared" ref="E131:E194" si="15">IF(C131="MONDAY","M",IF(C131="TUESDAY","T",IF(C131="WEDNESDAY","W",IF(C131="THURSDAY","TH",IF(C131="FRIDAY","F",IF(C131="SATURDAY","S","NA"))))))</f>
        <v>W</v>
      </c>
      <c r="F131" s="4">
        <v>4</v>
      </c>
      <c r="G131" s="4" t="str">
        <f t="shared" ref="G131:G194" si="16">_xlfn.CONCAT(E131,F131)</f>
        <v>W4</v>
      </c>
      <c r="H131" s="4" t="s">
        <v>96</v>
      </c>
      <c r="I131" s="4" t="s">
        <v>95</v>
      </c>
      <c r="J131" s="4" t="s">
        <v>95</v>
      </c>
      <c r="K131" s="4" t="s">
        <v>95</v>
      </c>
      <c r="L131" t="str">
        <f t="shared" si="14"/>
        <v>NAW4</v>
      </c>
      <c r="M131" s="4" t="str">
        <f t="shared" ref="M131:M194" si="17">C131</f>
        <v>WEDNESDAY</v>
      </c>
      <c r="N131" s="4" t="str">
        <f t="shared" ref="N131:N194" si="18">D131</f>
        <v>12:00-01:00</v>
      </c>
      <c r="O131" t="str">
        <f t="shared" ref="O131:O194" si="19">H131</f>
        <v>LEISURE</v>
      </c>
      <c r="P131" t="str">
        <f t="shared" ref="P131:P194" si="20">J131</f>
        <v>NA</v>
      </c>
    </row>
    <row r="132" spans="1:16" x14ac:dyDescent="0.3">
      <c r="A132" s="4">
        <v>2</v>
      </c>
      <c r="B132" s="4" t="s">
        <v>157</v>
      </c>
      <c r="C132" s="4" t="s">
        <v>5</v>
      </c>
      <c r="D132" s="4" t="s">
        <v>152</v>
      </c>
      <c r="E132" s="4" t="str">
        <f t="shared" si="15"/>
        <v>W</v>
      </c>
      <c r="F132" s="4">
        <v>5</v>
      </c>
      <c r="G132" s="4" t="str">
        <f t="shared" si="16"/>
        <v>W5</v>
      </c>
      <c r="H132" s="4" t="s">
        <v>94</v>
      </c>
      <c r="I132" s="4" t="s">
        <v>95</v>
      </c>
      <c r="J132" s="4" t="s">
        <v>95</v>
      </c>
      <c r="K132" s="4" t="s">
        <v>95</v>
      </c>
      <c r="L132" t="str">
        <f t="shared" si="14"/>
        <v>NAW5</v>
      </c>
      <c r="M132" s="4" t="str">
        <f t="shared" si="17"/>
        <v>WEDNESDAY</v>
      </c>
      <c r="N132" s="4" t="str">
        <f t="shared" si="18"/>
        <v>01:00-02:00</v>
      </c>
      <c r="O132" t="str">
        <f t="shared" si="19"/>
        <v>LUNCH</v>
      </c>
      <c r="P132" t="str">
        <f t="shared" si="20"/>
        <v>NA</v>
      </c>
    </row>
    <row r="133" spans="1:16" x14ac:dyDescent="0.3">
      <c r="A133" s="4">
        <v>2</v>
      </c>
      <c r="B133" s="4" t="s">
        <v>157</v>
      </c>
      <c r="C133" s="4" t="s">
        <v>5</v>
      </c>
      <c r="D133" s="4" t="s">
        <v>22</v>
      </c>
      <c r="E133" s="4" t="str">
        <f t="shared" si="15"/>
        <v>W</v>
      </c>
      <c r="F133" s="4">
        <v>6</v>
      </c>
      <c r="G133" s="4" t="str">
        <f t="shared" si="16"/>
        <v>W6</v>
      </c>
      <c r="H133" s="4" t="s">
        <v>128</v>
      </c>
      <c r="I133" s="4" t="s">
        <v>193</v>
      </c>
      <c r="J133" s="4" t="s">
        <v>194</v>
      </c>
      <c r="K133" s="4" t="s">
        <v>213</v>
      </c>
      <c r="L133" t="str">
        <f t="shared" si="14"/>
        <v>GUW6</v>
      </c>
      <c r="M133" s="4" t="str">
        <f t="shared" si="17"/>
        <v>WEDNESDAY</v>
      </c>
      <c r="N133" s="4" t="str">
        <f t="shared" si="18"/>
        <v>02:00-03:00</v>
      </c>
      <c r="O133" t="str">
        <f t="shared" si="19"/>
        <v>GE206</v>
      </c>
      <c r="P133" t="str">
        <f t="shared" si="20"/>
        <v>GUEST</v>
      </c>
    </row>
    <row r="134" spans="1:16" x14ac:dyDescent="0.3">
      <c r="A134" s="4">
        <v>2</v>
      </c>
      <c r="B134" s="4" t="s">
        <v>157</v>
      </c>
      <c r="C134" s="4" t="s">
        <v>5</v>
      </c>
      <c r="D134" s="4" t="s">
        <v>25</v>
      </c>
      <c r="E134" s="4" t="str">
        <f t="shared" si="15"/>
        <v>W</v>
      </c>
      <c r="F134" s="4">
        <v>7</v>
      </c>
      <c r="G134" s="4" t="str">
        <f t="shared" si="16"/>
        <v>W7</v>
      </c>
      <c r="H134" s="4" t="s">
        <v>128</v>
      </c>
      <c r="I134" s="4" t="s">
        <v>193</v>
      </c>
      <c r="J134" s="4" t="s">
        <v>194</v>
      </c>
      <c r="K134" s="4" t="s">
        <v>213</v>
      </c>
      <c r="L134" t="str">
        <f t="shared" si="14"/>
        <v>GUW7</v>
      </c>
      <c r="M134" s="4" t="str">
        <f t="shared" si="17"/>
        <v>WEDNESDAY</v>
      </c>
      <c r="N134" s="4" t="str">
        <f t="shared" si="18"/>
        <v>03:00-04:00</v>
      </c>
      <c r="O134" t="str">
        <f t="shared" si="19"/>
        <v>GE206</v>
      </c>
      <c r="P134" t="str">
        <f t="shared" si="20"/>
        <v>GUEST</v>
      </c>
    </row>
    <row r="135" spans="1:16" x14ac:dyDescent="0.3">
      <c r="A135" s="4">
        <v>2</v>
      </c>
      <c r="B135" s="4" t="s">
        <v>157</v>
      </c>
      <c r="C135" s="4" t="s">
        <v>5</v>
      </c>
      <c r="D135" s="4" t="s">
        <v>26</v>
      </c>
      <c r="E135" s="4" t="str">
        <f>IF(C135="MONDAY","M",IF(C135="TUESDAY","T",IF(C135="WEDNESDAY","W",IF(C135="THURSDAY","TH",IF(C135="FRIDAY","F",IF(C135="SATURDAY","S","NA"))))))</f>
        <v>W</v>
      </c>
      <c r="F135" s="4">
        <v>8</v>
      </c>
      <c r="G135" s="4" t="str">
        <f t="shared" si="16"/>
        <v>W8</v>
      </c>
      <c r="H135" s="4" t="s">
        <v>128</v>
      </c>
      <c r="I135" s="4" t="s">
        <v>193</v>
      </c>
      <c r="J135" s="4" t="s">
        <v>194</v>
      </c>
      <c r="K135" s="4" t="s">
        <v>213</v>
      </c>
      <c r="L135" t="str">
        <f t="shared" si="14"/>
        <v>GUW8</v>
      </c>
      <c r="M135" s="4" t="str">
        <f t="shared" si="17"/>
        <v>WEDNESDAY</v>
      </c>
      <c r="N135" s="4" t="str">
        <f t="shared" si="18"/>
        <v>04:00-05:00</v>
      </c>
      <c r="O135" t="str">
        <f t="shared" si="19"/>
        <v>GE206</v>
      </c>
      <c r="P135" t="str">
        <f t="shared" si="20"/>
        <v>GUEST</v>
      </c>
    </row>
    <row r="136" spans="1:16" x14ac:dyDescent="0.3">
      <c r="A136" s="4">
        <v>2</v>
      </c>
      <c r="B136" s="4" t="s">
        <v>157</v>
      </c>
      <c r="C136" s="4" t="s">
        <v>5</v>
      </c>
      <c r="D136" s="4" t="s">
        <v>29</v>
      </c>
      <c r="E136" s="4" t="str">
        <f t="shared" si="15"/>
        <v>W</v>
      </c>
      <c r="F136" s="4">
        <v>9</v>
      </c>
      <c r="G136" s="4" t="str">
        <f t="shared" si="16"/>
        <v>W9</v>
      </c>
      <c r="H136" s="4" t="s">
        <v>96</v>
      </c>
      <c r="I136" s="4" t="s">
        <v>95</v>
      </c>
      <c r="J136" s="4" t="s">
        <v>95</v>
      </c>
      <c r="K136" s="4" t="s">
        <v>95</v>
      </c>
      <c r="L136" t="str">
        <f t="shared" si="14"/>
        <v>NAW9</v>
      </c>
      <c r="M136" s="4" t="str">
        <f t="shared" si="17"/>
        <v>WEDNESDAY</v>
      </c>
      <c r="N136" s="4" t="str">
        <f t="shared" si="18"/>
        <v>05:00-06:00</v>
      </c>
      <c r="O136" t="str">
        <f t="shared" si="19"/>
        <v>LEISURE</v>
      </c>
      <c r="P136" t="str">
        <f t="shared" si="20"/>
        <v>NA</v>
      </c>
    </row>
    <row r="137" spans="1:16" x14ac:dyDescent="0.3">
      <c r="A137" s="4">
        <v>2</v>
      </c>
      <c r="B137" s="4" t="s">
        <v>157</v>
      </c>
      <c r="C137" s="4" t="s">
        <v>6</v>
      </c>
      <c r="D137" s="4" t="s">
        <v>9</v>
      </c>
      <c r="E137" s="4" t="str">
        <f t="shared" si="15"/>
        <v>TH</v>
      </c>
      <c r="F137" s="4">
        <v>1</v>
      </c>
      <c r="G137" s="4" t="str">
        <f t="shared" si="16"/>
        <v>TH1</v>
      </c>
      <c r="H137" s="4" t="s">
        <v>100</v>
      </c>
      <c r="I137" s="23" t="s">
        <v>69</v>
      </c>
      <c r="J137" s="23" t="s">
        <v>70</v>
      </c>
      <c r="K137" s="4" t="s">
        <v>204</v>
      </c>
      <c r="L137" t="str">
        <f t="shared" si="14"/>
        <v>PKTH1</v>
      </c>
      <c r="M137" s="4" t="str">
        <f t="shared" si="17"/>
        <v>THURSDAY</v>
      </c>
      <c r="N137" s="4" t="str">
        <f t="shared" si="18"/>
        <v>09:00-10:00</v>
      </c>
      <c r="O137" t="str">
        <f t="shared" si="19"/>
        <v>GE202</v>
      </c>
      <c r="P137" t="str">
        <f t="shared" si="20"/>
        <v>Dr. Pramod Kumar Mishra</v>
      </c>
    </row>
    <row r="138" spans="1:16" x14ac:dyDescent="0.3">
      <c r="A138" s="4">
        <v>2</v>
      </c>
      <c r="B138" s="4" t="s">
        <v>157</v>
      </c>
      <c r="C138" s="4" t="s">
        <v>6</v>
      </c>
      <c r="D138" s="4" t="s">
        <v>13</v>
      </c>
      <c r="E138" s="4" t="str">
        <f t="shared" si="15"/>
        <v>TH</v>
      </c>
      <c r="F138" s="4">
        <v>2</v>
      </c>
      <c r="G138" s="4" t="str">
        <f t="shared" si="16"/>
        <v>TH2</v>
      </c>
      <c r="H138" s="4" t="s">
        <v>100</v>
      </c>
      <c r="I138" s="23" t="s">
        <v>69</v>
      </c>
      <c r="J138" s="23" t="s">
        <v>70</v>
      </c>
      <c r="K138" s="4" t="s">
        <v>204</v>
      </c>
      <c r="L138" t="str">
        <f t="shared" si="14"/>
        <v>PKTH2</v>
      </c>
      <c r="M138" s="4" t="str">
        <f t="shared" si="17"/>
        <v>THURSDAY</v>
      </c>
      <c r="N138" s="4" t="str">
        <f t="shared" si="18"/>
        <v>10:00-11:00</v>
      </c>
      <c r="O138" t="str">
        <f t="shared" si="19"/>
        <v>GE202</v>
      </c>
      <c r="P138" t="str">
        <f t="shared" si="20"/>
        <v>Dr. Pramod Kumar Mishra</v>
      </c>
    </row>
    <row r="139" spans="1:16" x14ac:dyDescent="0.3">
      <c r="A139" s="4">
        <v>2</v>
      </c>
      <c r="B139" s="4" t="s">
        <v>157</v>
      </c>
      <c r="C139" s="4" t="s">
        <v>6</v>
      </c>
      <c r="D139" s="4" t="s">
        <v>15</v>
      </c>
      <c r="E139" s="4" t="str">
        <f t="shared" si="15"/>
        <v>TH</v>
      </c>
      <c r="F139" s="4">
        <v>3</v>
      </c>
      <c r="G139" s="4" t="str">
        <f t="shared" si="16"/>
        <v>TH3</v>
      </c>
      <c r="H139" s="4" t="s">
        <v>107</v>
      </c>
      <c r="I139" s="4" t="s">
        <v>33</v>
      </c>
      <c r="J139" s="4" t="s">
        <v>158</v>
      </c>
      <c r="K139" s="4" t="s">
        <v>198</v>
      </c>
      <c r="L139" t="str">
        <f t="shared" si="14"/>
        <v>PSTH3</v>
      </c>
      <c r="M139" s="4" t="str">
        <f t="shared" si="17"/>
        <v>THURSDAY</v>
      </c>
      <c r="N139" s="4" t="str">
        <f t="shared" si="18"/>
        <v>11:00-12:00</v>
      </c>
      <c r="O139" t="str">
        <f t="shared" si="19"/>
        <v>GE203</v>
      </c>
      <c r="P139" t="str">
        <f t="shared" si="20"/>
        <v>Dr.Punam Singh</v>
      </c>
    </row>
    <row r="140" spans="1:16" x14ac:dyDescent="0.3">
      <c r="A140" s="4">
        <v>2</v>
      </c>
      <c r="B140" s="4" t="s">
        <v>157</v>
      </c>
      <c r="C140" s="4" t="s">
        <v>6</v>
      </c>
      <c r="D140" s="4" t="s">
        <v>19</v>
      </c>
      <c r="E140" s="4" t="str">
        <f t="shared" si="15"/>
        <v>TH</v>
      </c>
      <c r="F140" s="4">
        <v>4</v>
      </c>
      <c r="G140" s="4" t="str">
        <f t="shared" si="16"/>
        <v>TH4</v>
      </c>
      <c r="H140" s="4" t="s">
        <v>107</v>
      </c>
      <c r="I140" s="4" t="s">
        <v>33</v>
      </c>
      <c r="J140" s="4" t="s">
        <v>158</v>
      </c>
      <c r="K140" s="4" t="s">
        <v>198</v>
      </c>
      <c r="L140" t="str">
        <f t="shared" si="14"/>
        <v>PSTH4</v>
      </c>
      <c r="M140" s="4" t="str">
        <f t="shared" si="17"/>
        <v>THURSDAY</v>
      </c>
      <c r="N140" s="4" t="str">
        <f t="shared" si="18"/>
        <v>12:00-01:00</v>
      </c>
      <c r="O140" t="str">
        <f t="shared" si="19"/>
        <v>GE203</v>
      </c>
      <c r="P140" t="str">
        <f t="shared" si="20"/>
        <v>Dr.Punam Singh</v>
      </c>
    </row>
    <row r="141" spans="1:16" x14ac:dyDescent="0.3">
      <c r="A141" s="4">
        <v>2</v>
      </c>
      <c r="B141" s="4" t="s">
        <v>157</v>
      </c>
      <c r="C141" s="4" t="s">
        <v>6</v>
      </c>
      <c r="D141" s="4" t="s">
        <v>152</v>
      </c>
      <c r="E141" s="4" t="str">
        <f t="shared" si="15"/>
        <v>TH</v>
      </c>
      <c r="F141" s="4">
        <v>5</v>
      </c>
      <c r="G141" s="4" t="str">
        <f t="shared" si="16"/>
        <v>TH5</v>
      </c>
      <c r="H141" s="4" t="s">
        <v>94</v>
      </c>
      <c r="I141" s="4" t="s">
        <v>95</v>
      </c>
      <c r="J141" s="4" t="s">
        <v>95</v>
      </c>
      <c r="K141" s="4" t="s">
        <v>95</v>
      </c>
      <c r="L141" t="str">
        <f t="shared" si="14"/>
        <v>NATH5</v>
      </c>
      <c r="M141" s="4" t="str">
        <f t="shared" si="17"/>
        <v>THURSDAY</v>
      </c>
      <c r="N141" s="4" t="str">
        <f t="shared" si="18"/>
        <v>01:00-02:00</v>
      </c>
      <c r="O141" t="str">
        <f t="shared" si="19"/>
        <v>LUNCH</v>
      </c>
      <c r="P141" t="str">
        <f t="shared" si="20"/>
        <v>NA</v>
      </c>
    </row>
    <row r="142" spans="1:16" x14ac:dyDescent="0.3">
      <c r="A142" s="4">
        <v>2</v>
      </c>
      <c r="B142" s="4" t="s">
        <v>157</v>
      </c>
      <c r="C142" s="4" t="s">
        <v>6</v>
      </c>
      <c r="D142" s="4" t="s">
        <v>22</v>
      </c>
      <c r="E142" s="4" t="str">
        <f t="shared" si="15"/>
        <v>TH</v>
      </c>
      <c r="F142" s="4">
        <v>6</v>
      </c>
      <c r="G142" s="4" t="str">
        <f t="shared" si="16"/>
        <v>TH6</v>
      </c>
      <c r="H142" s="4" t="s">
        <v>129</v>
      </c>
      <c r="I142" s="65" t="s">
        <v>195</v>
      </c>
      <c r="J142" s="23" t="s">
        <v>49</v>
      </c>
      <c r="K142" s="4" t="s">
        <v>203</v>
      </c>
      <c r="L142" t="str">
        <f t="shared" si="14"/>
        <v>PMTH6</v>
      </c>
      <c r="M142" s="4" t="str">
        <f t="shared" si="17"/>
        <v>THURSDAY</v>
      </c>
      <c r="N142" s="4" t="str">
        <f t="shared" si="18"/>
        <v>02:00-03:00</v>
      </c>
      <c r="O142" t="str">
        <f t="shared" si="19"/>
        <v>GE207</v>
      </c>
      <c r="P142" t="str">
        <f t="shared" si="20"/>
        <v>Dr. P. Murugan</v>
      </c>
    </row>
    <row r="143" spans="1:16" x14ac:dyDescent="0.3">
      <c r="A143" s="4">
        <v>2</v>
      </c>
      <c r="B143" s="4" t="s">
        <v>157</v>
      </c>
      <c r="C143" s="4" t="s">
        <v>6</v>
      </c>
      <c r="D143" s="4" t="s">
        <v>25</v>
      </c>
      <c r="E143" s="4" t="str">
        <f t="shared" si="15"/>
        <v>TH</v>
      </c>
      <c r="F143" s="4">
        <v>7</v>
      </c>
      <c r="G143" s="4" t="str">
        <f t="shared" si="16"/>
        <v>TH7</v>
      </c>
      <c r="H143" s="4" t="s">
        <v>129</v>
      </c>
      <c r="I143" s="65" t="s">
        <v>195</v>
      </c>
      <c r="J143" s="23" t="s">
        <v>49</v>
      </c>
      <c r="K143" s="4" t="s">
        <v>203</v>
      </c>
      <c r="L143" t="str">
        <f t="shared" si="14"/>
        <v>PMTH7</v>
      </c>
      <c r="M143" s="4" t="str">
        <f t="shared" si="17"/>
        <v>THURSDAY</v>
      </c>
      <c r="N143" s="4" t="str">
        <f t="shared" si="18"/>
        <v>03:00-04:00</v>
      </c>
      <c r="O143" t="str">
        <f t="shared" si="19"/>
        <v>GE207</v>
      </c>
      <c r="P143" t="str">
        <f t="shared" si="20"/>
        <v>Dr. P. Murugan</v>
      </c>
    </row>
    <row r="144" spans="1:16" x14ac:dyDescent="0.3">
      <c r="A144" s="4">
        <v>2</v>
      </c>
      <c r="B144" s="4" t="s">
        <v>157</v>
      </c>
      <c r="C144" s="4" t="s">
        <v>6</v>
      </c>
      <c r="D144" s="4" t="s">
        <v>26</v>
      </c>
      <c r="E144" s="4" t="str">
        <f t="shared" si="15"/>
        <v>TH</v>
      </c>
      <c r="F144" s="4">
        <v>8</v>
      </c>
      <c r="G144" s="4" t="str">
        <f t="shared" si="16"/>
        <v>TH8</v>
      </c>
      <c r="H144" s="4" t="s">
        <v>96</v>
      </c>
      <c r="I144" s="4" t="s">
        <v>95</v>
      </c>
      <c r="J144" s="4" t="s">
        <v>95</v>
      </c>
      <c r="K144" s="4" t="s">
        <v>95</v>
      </c>
      <c r="L144" t="str">
        <f t="shared" si="14"/>
        <v>NATH8</v>
      </c>
      <c r="M144" s="4" t="str">
        <f t="shared" si="17"/>
        <v>THURSDAY</v>
      </c>
      <c r="N144" s="4" t="str">
        <f t="shared" si="18"/>
        <v>04:00-05:00</v>
      </c>
      <c r="O144" t="str">
        <f t="shared" si="19"/>
        <v>LEISURE</v>
      </c>
      <c r="P144" t="str">
        <f t="shared" si="20"/>
        <v>NA</v>
      </c>
    </row>
    <row r="145" spans="1:16" x14ac:dyDescent="0.3">
      <c r="A145" s="4">
        <v>2</v>
      </c>
      <c r="B145" s="4" t="s">
        <v>157</v>
      </c>
      <c r="C145" s="4" t="s">
        <v>6</v>
      </c>
      <c r="D145" s="4" t="s">
        <v>29</v>
      </c>
      <c r="E145" s="4" t="str">
        <f t="shared" si="15"/>
        <v>TH</v>
      </c>
      <c r="F145" s="4">
        <v>9</v>
      </c>
      <c r="G145" s="4" t="str">
        <f t="shared" si="16"/>
        <v>TH9</v>
      </c>
      <c r="H145" s="4" t="s">
        <v>96</v>
      </c>
      <c r="I145" s="4" t="s">
        <v>95</v>
      </c>
      <c r="J145" s="4" t="s">
        <v>95</v>
      </c>
      <c r="K145" s="4" t="s">
        <v>95</v>
      </c>
      <c r="L145" t="str">
        <f t="shared" si="14"/>
        <v>NATH9</v>
      </c>
      <c r="M145" s="4" t="str">
        <f t="shared" si="17"/>
        <v>THURSDAY</v>
      </c>
      <c r="N145" s="4" t="str">
        <f t="shared" si="18"/>
        <v>05:00-06:00</v>
      </c>
      <c r="O145" t="str">
        <f t="shared" si="19"/>
        <v>LEISURE</v>
      </c>
      <c r="P145" t="str">
        <f t="shared" si="20"/>
        <v>NA</v>
      </c>
    </row>
    <row r="146" spans="1:16" x14ac:dyDescent="0.3">
      <c r="A146" s="4">
        <v>2</v>
      </c>
      <c r="B146" s="4" t="s">
        <v>157</v>
      </c>
      <c r="C146" s="4" t="s">
        <v>7</v>
      </c>
      <c r="D146" s="4" t="s">
        <v>9</v>
      </c>
      <c r="E146" s="4" t="str">
        <f t="shared" si="15"/>
        <v>F</v>
      </c>
      <c r="F146" s="4">
        <v>1</v>
      </c>
      <c r="G146" s="4" t="str">
        <f t="shared" si="16"/>
        <v>F1</v>
      </c>
      <c r="H146" s="4" t="s">
        <v>96</v>
      </c>
      <c r="I146" s="4" t="s">
        <v>95</v>
      </c>
      <c r="J146" s="4" t="s">
        <v>95</v>
      </c>
      <c r="K146" s="4" t="s">
        <v>95</v>
      </c>
      <c r="L146" t="str">
        <f t="shared" si="14"/>
        <v>NAF1</v>
      </c>
      <c r="M146" s="4" t="str">
        <f t="shared" si="17"/>
        <v>FRIDAY</v>
      </c>
      <c r="N146" s="4" t="str">
        <f t="shared" si="18"/>
        <v>09:00-10:00</v>
      </c>
      <c r="O146" t="str">
        <f t="shared" si="19"/>
        <v>LEISURE</v>
      </c>
      <c r="P146" t="str">
        <f t="shared" si="20"/>
        <v>NA</v>
      </c>
    </row>
    <row r="147" spans="1:16" x14ac:dyDescent="0.3">
      <c r="A147" s="4">
        <v>2</v>
      </c>
      <c r="B147" s="4" t="s">
        <v>157</v>
      </c>
      <c r="C147" s="4" t="s">
        <v>7</v>
      </c>
      <c r="D147" s="4" t="s">
        <v>13</v>
      </c>
      <c r="E147" s="4" t="str">
        <f t="shared" si="15"/>
        <v>F</v>
      </c>
      <c r="F147" s="4">
        <v>2</v>
      </c>
      <c r="G147" s="4" t="str">
        <f t="shared" si="16"/>
        <v>F2</v>
      </c>
      <c r="H147" s="4" t="s">
        <v>104</v>
      </c>
      <c r="I147" s="23" t="s">
        <v>35</v>
      </c>
      <c r="J147" s="4" t="s">
        <v>126</v>
      </c>
      <c r="K147" s="4" t="s">
        <v>202</v>
      </c>
      <c r="L147" t="str">
        <f t="shared" si="14"/>
        <v>KRF2</v>
      </c>
      <c r="M147" s="4" t="str">
        <f t="shared" si="17"/>
        <v>FRIDAY</v>
      </c>
      <c r="N147" s="4" t="str">
        <f t="shared" si="18"/>
        <v>10:00-11:00</v>
      </c>
      <c r="O147" t="str">
        <f t="shared" si="19"/>
        <v>GE205</v>
      </c>
      <c r="P147" t="str">
        <f t="shared" si="20"/>
        <v>Dr. K. Ramulu</v>
      </c>
    </row>
    <row r="148" spans="1:16" x14ac:dyDescent="0.3">
      <c r="A148" s="4">
        <v>2</v>
      </c>
      <c r="B148" s="4" t="s">
        <v>157</v>
      </c>
      <c r="C148" s="4" t="s">
        <v>7</v>
      </c>
      <c r="D148" s="4" t="s">
        <v>15</v>
      </c>
      <c r="E148" s="4" t="str">
        <f t="shared" si="15"/>
        <v>F</v>
      </c>
      <c r="F148" s="4">
        <v>3</v>
      </c>
      <c r="G148" s="4" t="str">
        <f t="shared" si="16"/>
        <v>F3</v>
      </c>
      <c r="H148" s="4" t="s">
        <v>104</v>
      </c>
      <c r="I148" s="23" t="s">
        <v>35</v>
      </c>
      <c r="J148" s="4" t="s">
        <v>126</v>
      </c>
      <c r="K148" s="4" t="s">
        <v>202</v>
      </c>
      <c r="L148" t="str">
        <f t="shared" si="14"/>
        <v>KRF3</v>
      </c>
      <c r="M148" s="4" t="str">
        <f t="shared" si="17"/>
        <v>FRIDAY</v>
      </c>
      <c r="N148" s="4" t="str">
        <f t="shared" si="18"/>
        <v>11:00-12:00</v>
      </c>
      <c r="O148" t="str">
        <f t="shared" si="19"/>
        <v>GE205</v>
      </c>
      <c r="P148" t="str">
        <f t="shared" si="20"/>
        <v>Dr. K. Ramulu</v>
      </c>
    </row>
    <row r="149" spans="1:16" x14ac:dyDescent="0.3">
      <c r="A149" s="4">
        <v>2</v>
      </c>
      <c r="B149" s="4" t="s">
        <v>157</v>
      </c>
      <c r="C149" s="4" t="s">
        <v>7</v>
      </c>
      <c r="D149" s="4" t="s">
        <v>19</v>
      </c>
      <c r="E149" s="4" t="str">
        <f t="shared" si="15"/>
        <v>F</v>
      </c>
      <c r="F149" s="4">
        <v>4</v>
      </c>
      <c r="G149" s="4" t="str">
        <f t="shared" si="16"/>
        <v>F4</v>
      </c>
      <c r="H149" s="4" t="s">
        <v>96</v>
      </c>
      <c r="I149" s="4" t="s">
        <v>95</v>
      </c>
      <c r="J149" s="4" t="s">
        <v>95</v>
      </c>
      <c r="K149" s="4" t="s">
        <v>95</v>
      </c>
      <c r="L149" t="str">
        <f t="shared" si="14"/>
        <v>NAF4</v>
      </c>
      <c r="M149" s="4" t="str">
        <f t="shared" si="17"/>
        <v>FRIDAY</v>
      </c>
      <c r="N149" s="4" t="str">
        <f t="shared" si="18"/>
        <v>12:00-01:00</v>
      </c>
      <c r="O149" t="str">
        <f t="shared" si="19"/>
        <v>LEISURE</v>
      </c>
      <c r="P149" t="str">
        <f t="shared" si="20"/>
        <v>NA</v>
      </c>
    </row>
    <row r="150" spans="1:16" x14ac:dyDescent="0.3">
      <c r="A150" s="4">
        <v>2</v>
      </c>
      <c r="B150" s="4" t="s">
        <v>157</v>
      </c>
      <c r="C150" s="4" t="s">
        <v>7</v>
      </c>
      <c r="D150" s="4" t="s">
        <v>152</v>
      </c>
      <c r="E150" s="4" t="str">
        <f t="shared" si="15"/>
        <v>F</v>
      </c>
      <c r="F150" s="4">
        <v>5</v>
      </c>
      <c r="G150" s="4" t="str">
        <f t="shared" si="16"/>
        <v>F5</v>
      </c>
      <c r="H150" s="4" t="s">
        <v>94</v>
      </c>
      <c r="I150" s="4" t="s">
        <v>95</v>
      </c>
      <c r="J150" s="4" t="s">
        <v>95</v>
      </c>
      <c r="K150" s="4" t="s">
        <v>95</v>
      </c>
      <c r="L150" t="str">
        <f t="shared" si="14"/>
        <v>NAF5</v>
      </c>
      <c r="M150" s="4" t="str">
        <f t="shared" si="17"/>
        <v>FRIDAY</v>
      </c>
      <c r="N150" s="4" t="str">
        <f t="shared" si="18"/>
        <v>01:00-02:00</v>
      </c>
      <c r="O150" t="str">
        <f t="shared" si="19"/>
        <v>LUNCH</v>
      </c>
      <c r="P150" t="str">
        <f t="shared" si="20"/>
        <v>NA</v>
      </c>
    </row>
    <row r="151" spans="1:16" x14ac:dyDescent="0.3">
      <c r="A151" s="4">
        <v>2</v>
      </c>
      <c r="B151" s="4" t="s">
        <v>157</v>
      </c>
      <c r="C151" s="4" t="s">
        <v>7</v>
      </c>
      <c r="D151" s="4" t="s">
        <v>22</v>
      </c>
      <c r="E151" s="4" t="str">
        <f t="shared" si="15"/>
        <v>F</v>
      </c>
      <c r="F151" s="4">
        <v>6</v>
      </c>
      <c r="G151" s="4" t="str">
        <f t="shared" si="16"/>
        <v>F6</v>
      </c>
      <c r="H151" s="4" t="s">
        <v>129</v>
      </c>
      <c r="I151" s="65" t="s">
        <v>195</v>
      </c>
      <c r="J151" s="23" t="s">
        <v>49</v>
      </c>
      <c r="K151" s="4" t="s">
        <v>203</v>
      </c>
      <c r="L151" t="str">
        <f t="shared" si="14"/>
        <v>PMF6</v>
      </c>
      <c r="M151" s="4" t="str">
        <f t="shared" si="17"/>
        <v>FRIDAY</v>
      </c>
      <c r="N151" s="4" t="str">
        <f t="shared" si="18"/>
        <v>02:00-03:00</v>
      </c>
      <c r="O151" t="str">
        <f t="shared" si="19"/>
        <v>GE207</v>
      </c>
      <c r="P151" t="str">
        <f t="shared" si="20"/>
        <v>Dr. P. Murugan</v>
      </c>
    </row>
    <row r="152" spans="1:16" x14ac:dyDescent="0.3">
      <c r="A152" s="4">
        <v>2</v>
      </c>
      <c r="B152" s="4" t="s">
        <v>157</v>
      </c>
      <c r="C152" s="4" t="s">
        <v>7</v>
      </c>
      <c r="D152" s="4" t="s">
        <v>25</v>
      </c>
      <c r="E152" s="4" t="str">
        <f t="shared" si="15"/>
        <v>F</v>
      </c>
      <c r="F152" s="4">
        <v>7</v>
      </c>
      <c r="G152" s="4" t="str">
        <f t="shared" si="16"/>
        <v>F7</v>
      </c>
      <c r="H152" s="4" t="s">
        <v>129</v>
      </c>
      <c r="I152" s="65" t="s">
        <v>195</v>
      </c>
      <c r="J152" s="23" t="s">
        <v>49</v>
      </c>
      <c r="K152" s="4" t="s">
        <v>203</v>
      </c>
      <c r="L152" t="str">
        <f t="shared" si="14"/>
        <v>PMF7</v>
      </c>
      <c r="M152" s="4" t="str">
        <f t="shared" si="17"/>
        <v>FRIDAY</v>
      </c>
      <c r="N152" s="4" t="str">
        <f t="shared" si="18"/>
        <v>03:00-04:00</v>
      </c>
      <c r="O152" t="str">
        <f t="shared" si="19"/>
        <v>GE207</v>
      </c>
      <c r="P152" t="str">
        <f t="shared" si="20"/>
        <v>Dr. P. Murugan</v>
      </c>
    </row>
    <row r="153" spans="1:16" x14ac:dyDescent="0.3">
      <c r="A153" s="4">
        <v>2</v>
      </c>
      <c r="B153" s="4" t="s">
        <v>157</v>
      </c>
      <c r="C153" s="4" t="s">
        <v>7</v>
      </c>
      <c r="D153" s="4" t="s">
        <v>26</v>
      </c>
      <c r="E153" s="4" t="str">
        <f t="shared" si="15"/>
        <v>F</v>
      </c>
      <c r="F153" s="4">
        <v>8</v>
      </c>
      <c r="G153" s="4" t="str">
        <f t="shared" si="16"/>
        <v>F8</v>
      </c>
      <c r="H153" s="4" t="s">
        <v>96</v>
      </c>
      <c r="I153" s="4" t="s">
        <v>95</v>
      </c>
      <c r="J153" s="4" t="s">
        <v>95</v>
      </c>
      <c r="K153" s="4" t="s">
        <v>95</v>
      </c>
      <c r="L153" t="str">
        <f t="shared" si="14"/>
        <v>NAF8</v>
      </c>
      <c r="M153" s="4" t="str">
        <f t="shared" si="17"/>
        <v>FRIDAY</v>
      </c>
      <c r="N153" s="4" t="str">
        <f t="shared" si="18"/>
        <v>04:00-05:00</v>
      </c>
      <c r="O153" t="str">
        <f t="shared" si="19"/>
        <v>LEISURE</v>
      </c>
      <c r="P153" t="str">
        <f t="shared" si="20"/>
        <v>NA</v>
      </c>
    </row>
    <row r="154" spans="1:16" x14ac:dyDescent="0.3">
      <c r="A154" s="4">
        <v>2</v>
      </c>
      <c r="B154" s="4" t="s">
        <v>157</v>
      </c>
      <c r="C154" s="4" t="s">
        <v>7</v>
      </c>
      <c r="D154" s="4" t="s">
        <v>29</v>
      </c>
      <c r="E154" s="4" t="str">
        <f t="shared" si="15"/>
        <v>F</v>
      </c>
      <c r="F154" s="4">
        <v>9</v>
      </c>
      <c r="G154" s="4" t="str">
        <f t="shared" si="16"/>
        <v>F9</v>
      </c>
      <c r="H154" s="4" t="s">
        <v>96</v>
      </c>
      <c r="I154" s="4" t="s">
        <v>95</v>
      </c>
      <c r="J154" s="4" t="s">
        <v>95</v>
      </c>
      <c r="K154" s="4" t="s">
        <v>95</v>
      </c>
      <c r="L154" t="str">
        <f t="shared" si="14"/>
        <v>NAF9</v>
      </c>
      <c r="M154" s="4" t="str">
        <f t="shared" si="17"/>
        <v>FRIDAY</v>
      </c>
      <c r="N154" s="4" t="str">
        <f t="shared" si="18"/>
        <v>05:00-06:00</v>
      </c>
      <c r="O154" t="str">
        <f t="shared" si="19"/>
        <v>LEISURE</v>
      </c>
      <c r="P154" t="str">
        <f t="shared" si="20"/>
        <v>NA</v>
      </c>
    </row>
    <row r="155" spans="1:16" x14ac:dyDescent="0.3">
      <c r="A155" s="4">
        <v>2</v>
      </c>
      <c r="B155" s="4" t="s">
        <v>157</v>
      </c>
      <c r="C155" s="4" t="s">
        <v>8</v>
      </c>
      <c r="D155" s="4" t="s">
        <v>9</v>
      </c>
      <c r="E155" s="4" t="str">
        <f t="shared" si="15"/>
        <v>S</v>
      </c>
      <c r="F155" s="4">
        <v>1</v>
      </c>
      <c r="G155" s="4" t="str">
        <f t="shared" si="16"/>
        <v>S1</v>
      </c>
      <c r="H155" s="4" t="s">
        <v>96</v>
      </c>
      <c r="I155" s="4" t="s">
        <v>95</v>
      </c>
      <c r="J155" s="4" t="s">
        <v>95</v>
      </c>
      <c r="K155" s="4" t="s">
        <v>95</v>
      </c>
      <c r="L155" t="str">
        <f t="shared" si="14"/>
        <v>NAS1</v>
      </c>
      <c r="M155" s="4" t="str">
        <f t="shared" si="17"/>
        <v>SATURDAY</v>
      </c>
      <c r="N155" s="4" t="str">
        <f t="shared" si="18"/>
        <v>09:00-10:00</v>
      </c>
      <c r="O155" t="str">
        <f t="shared" si="19"/>
        <v>LEISURE</v>
      </c>
      <c r="P155" t="str">
        <f t="shared" si="20"/>
        <v>NA</v>
      </c>
    </row>
    <row r="156" spans="1:16" x14ac:dyDescent="0.3">
      <c r="A156" s="4">
        <v>2</v>
      </c>
      <c r="B156" s="4" t="s">
        <v>157</v>
      </c>
      <c r="C156" s="4" t="s">
        <v>8</v>
      </c>
      <c r="D156" s="4" t="s">
        <v>13</v>
      </c>
      <c r="E156" s="4" t="str">
        <f t="shared" si="15"/>
        <v>S</v>
      </c>
      <c r="F156" s="4">
        <v>2</v>
      </c>
      <c r="G156" s="4" t="str">
        <f t="shared" si="16"/>
        <v>S2</v>
      </c>
      <c r="H156" s="4" t="s">
        <v>116</v>
      </c>
      <c r="I156" s="23" t="s">
        <v>117</v>
      </c>
      <c r="J156" s="24" t="s">
        <v>156</v>
      </c>
      <c r="K156" s="4" t="s">
        <v>197</v>
      </c>
      <c r="L156" t="str">
        <f t="shared" si="14"/>
        <v>DJS2</v>
      </c>
      <c r="M156" s="4" t="str">
        <f t="shared" si="17"/>
        <v>SATURDAY</v>
      </c>
      <c r="N156" s="4" t="str">
        <f t="shared" si="18"/>
        <v>10:00-11:00</v>
      </c>
      <c r="O156" t="str">
        <f t="shared" si="19"/>
        <v>GE201</v>
      </c>
      <c r="P156" t="str">
        <f t="shared" si="20"/>
        <v>Daniel Jadi</v>
      </c>
    </row>
    <row r="157" spans="1:16" x14ac:dyDescent="0.3">
      <c r="A157" s="4">
        <v>2</v>
      </c>
      <c r="B157" s="4" t="s">
        <v>157</v>
      </c>
      <c r="C157" s="4" t="s">
        <v>8</v>
      </c>
      <c r="D157" s="4" t="s">
        <v>15</v>
      </c>
      <c r="E157" s="4" t="str">
        <f t="shared" si="15"/>
        <v>S</v>
      </c>
      <c r="F157" s="4">
        <v>3</v>
      </c>
      <c r="G157" s="4" t="str">
        <f t="shared" si="16"/>
        <v>S3</v>
      </c>
      <c r="H157" s="4" t="s">
        <v>116</v>
      </c>
      <c r="I157" s="23" t="s">
        <v>117</v>
      </c>
      <c r="J157" s="24" t="s">
        <v>156</v>
      </c>
      <c r="K157" s="4" t="s">
        <v>197</v>
      </c>
      <c r="L157" t="str">
        <f t="shared" si="14"/>
        <v>DJS3</v>
      </c>
      <c r="M157" s="4" t="str">
        <f t="shared" si="17"/>
        <v>SATURDAY</v>
      </c>
      <c r="N157" s="4" t="str">
        <f t="shared" si="18"/>
        <v>11:00-12:00</v>
      </c>
      <c r="O157" t="str">
        <f t="shared" si="19"/>
        <v>GE201</v>
      </c>
      <c r="P157" t="str">
        <f t="shared" si="20"/>
        <v>Daniel Jadi</v>
      </c>
    </row>
    <row r="158" spans="1:16" x14ac:dyDescent="0.3">
      <c r="A158" s="4">
        <v>2</v>
      </c>
      <c r="B158" s="4" t="s">
        <v>157</v>
      </c>
      <c r="C158" s="4" t="s">
        <v>8</v>
      </c>
      <c r="D158" s="4" t="s">
        <v>19</v>
      </c>
      <c r="E158" s="4" t="str">
        <f t="shared" si="15"/>
        <v>S</v>
      </c>
      <c r="F158" s="4">
        <v>4</v>
      </c>
      <c r="G158" s="4" t="str">
        <f t="shared" si="16"/>
        <v>S4</v>
      </c>
      <c r="H158" s="4" t="s">
        <v>116</v>
      </c>
      <c r="I158" s="23" t="s">
        <v>117</v>
      </c>
      <c r="J158" s="24" t="s">
        <v>156</v>
      </c>
      <c r="K158" s="4" t="s">
        <v>197</v>
      </c>
      <c r="L158" t="str">
        <f t="shared" si="14"/>
        <v>DJS4</v>
      </c>
      <c r="M158" s="4" t="str">
        <f t="shared" si="17"/>
        <v>SATURDAY</v>
      </c>
      <c r="N158" s="4" t="str">
        <f t="shared" si="18"/>
        <v>12:00-01:00</v>
      </c>
      <c r="O158" t="str">
        <f t="shared" si="19"/>
        <v>GE201</v>
      </c>
      <c r="P158" t="str">
        <f t="shared" si="20"/>
        <v>Daniel Jadi</v>
      </c>
    </row>
    <row r="159" spans="1:16" x14ac:dyDescent="0.3">
      <c r="A159" s="4">
        <v>2</v>
      </c>
      <c r="B159" s="4" t="s">
        <v>157</v>
      </c>
      <c r="C159" s="4" t="s">
        <v>8</v>
      </c>
      <c r="D159" s="4" t="s">
        <v>152</v>
      </c>
      <c r="E159" s="4" t="str">
        <f t="shared" si="15"/>
        <v>S</v>
      </c>
      <c r="F159" s="4">
        <v>5</v>
      </c>
      <c r="G159" s="4" t="str">
        <f t="shared" si="16"/>
        <v>S5</v>
      </c>
      <c r="H159" s="4" t="s">
        <v>94</v>
      </c>
      <c r="I159" s="4" t="s">
        <v>95</v>
      </c>
      <c r="J159" s="4" t="s">
        <v>95</v>
      </c>
      <c r="K159" s="4" t="s">
        <v>95</v>
      </c>
      <c r="L159" t="str">
        <f t="shared" si="14"/>
        <v>NAS5</v>
      </c>
      <c r="M159" s="4" t="str">
        <f t="shared" si="17"/>
        <v>SATURDAY</v>
      </c>
      <c r="N159" s="4" t="str">
        <f t="shared" si="18"/>
        <v>01:00-02:00</v>
      </c>
      <c r="O159" t="str">
        <f t="shared" si="19"/>
        <v>LUNCH</v>
      </c>
      <c r="P159" t="str">
        <f t="shared" si="20"/>
        <v>NA</v>
      </c>
    </row>
    <row r="160" spans="1:16" x14ac:dyDescent="0.3">
      <c r="A160" s="4">
        <v>2</v>
      </c>
      <c r="B160" s="4" t="s">
        <v>157</v>
      </c>
      <c r="C160" s="4" t="s">
        <v>8</v>
      </c>
      <c r="D160" s="4" t="s">
        <v>22</v>
      </c>
      <c r="E160" s="4" t="str">
        <f t="shared" si="15"/>
        <v>S</v>
      </c>
      <c r="F160" s="4">
        <v>6</v>
      </c>
      <c r="G160" s="4" t="str">
        <f t="shared" si="16"/>
        <v>S6</v>
      </c>
      <c r="H160" s="4" t="s">
        <v>96</v>
      </c>
      <c r="I160" s="4" t="s">
        <v>95</v>
      </c>
      <c r="J160" s="24" t="s">
        <v>95</v>
      </c>
      <c r="K160" s="4" t="s">
        <v>95</v>
      </c>
      <c r="L160" t="str">
        <f t="shared" si="14"/>
        <v>NAS6</v>
      </c>
      <c r="M160" s="4" t="str">
        <f t="shared" si="17"/>
        <v>SATURDAY</v>
      </c>
      <c r="N160" s="4" t="str">
        <f t="shared" si="18"/>
        <v>02:00-03:00</v>
      </c>
      <c r="O160" t="str">
        <f t="shared" si="19"/>
        <v>LEISURE</v>
      </c>
      <c r="P160" t="str">
        <f t="shared" si="20"/>
        <v>NA</v>
      </c>
    </row>
    <row r="161" spans="1:16" x14ac:dyDescent="0.3">
      <c r="A161" s="4">
        <v>2</v>
      </c>
      <c r="B161" s="4" t="s">
        <v>157</v>
      </c>
      <c r="C161" s="4" t="s">
        <v>8</v>
      </c>
      <c r="D161" s="4" t="s">
        <v>25</v>
      </c>
      <c r="E161" s="4" t="str">
        <f t="shared" si="15"/>
        <v>S</v>
      </c>
      <c r="F161" s="4">
        <v>7</v>
      </c>
      <c r="G161" s="4" t="str">
        <f t="shared" si="16"/>
        <v>S7</v>
      </c>
      <c r="H161" s="4" t="s">
        <v>96</v>
      </c>
      <c r="I161" s="4" t="s">
        <v>95</v>
      </c>
      <c r="J161" s="4" t="s">
        <v>95</v>
      </c>
      <c r="K161" s="4" t="s">
        <v>95</v>
      </c>
      <c r="L161" t="str">
        <f t="shared" si="14"/>
        <v>NAS7</v>
      </c>
      <c r="M161" s="4" t="str">
        <f t="shared" si="17"/>
        <v>SATURDAY</v>
      </c>
      <c r="N161" s="4" t="str">
        <f t="shared" si="18"/>
        <v>03:00-04:00</v>
      </c>
      <c r="O161" t="str">
        <f t="shared" si="19"/>
        <v>LEISURE</v>
      </c>
      <c r="P161" t="str">
        <f t="shared" si="20"/>
        <v>NA</v>
      </c>
    </row>
    <row r="162" spans="1:16" x14ac:dyDescent="0.3">
      <c r="A162" s="4">
        <v>2</v>
      </c>
      <c r="B162" s="4" t="s">
        <v>157</v>
      </c>
      <c r="C162" s="4" t="s">
        <v>8</v>
      </c>
      <c r="D162" s="4" t="s">
        <v>26</v>
      </c>
      <c r="E162" s="4" t="str">
        <f t="shared" si="15"/>
        <v>S</v>
      </c>
      <c r="F162" s="4">
        <v>8</v>
      </c>
      <c r="G162" s="4" t="str">
        <f t="shared" si="16"/>
        <v>S8</v>
      </c>
      <c r="H162" s="4" t="s">
        <v>96</v>
      </c>
      <c r="I162" s="4" t="s">
        <v>95</v>
      </c>
      <c r="J162" s="4" t="s">
        <v>95</v>
      </c>
      <c r="K162" s="4" t="s">
        <v>95</v>
      </c>
      <c r="L162" t="str">
        <f t="shared" si="14"/>
        <v>NAS8</v>
      </c>
      <c r="M162" s="4" t="str">
        <f t="shared" si="17"/>
        <v>SATURDAY</v>
      </c>
      <c r="N162" s="4" t="str">
        <f t="shared" si="18"/>
        <v>04:00-05:00</v>
      </c>
      <c r="O162" t="str">
        <f t="shared" si="19"/>
        <v>LEISURE</v>
      </c>
      <c r="P162" t="str">
        <f t="shared" si="20"/>
        <v>NA</v>
      </c>
    </row>
    <row r="163" spans="1:16" x14ac:dyDescent="0.3">
      <c r="A163" s="4">
        <v>2</v>
      </c>
      <c r="B163" s="4" t="s">
        <v>157</v>
      </c>
      <c r="C163" s="4" t="s">
        <v>8</v>
      </c>
      <c r="D163" s="4" t="s">
        <v>29</v>
      </c>
      <c r="E163" s="4" t="str">
        <f t="shared" si="15"/>
        <v>S</v>
      </c>
      <c r="F163" s="4">
        <v>9</v>
      </c>
      <c r="G163" s="4" t="str">
        <f t="shared" si="16"/>
        <v>S9</v>
      </c>
      <c r="H163" s="4" t="s">
        <v>96</v>
      </c>
      <c r="I163" s="4" t="s">
        <v>95</v>
      </c>
      <c r="J163" s="4" t="s">
        <v>95</v>
      </c>
      <c r="K163" s="4" t="s">
        <v>95</v>
      </c>
      <c r="L163" t="str">
        <f t="shared" si="14"/>
        <v>NAS9</v>
      </c>
      <c r="M163" s="4" t="str">
        <f t="shared" si="17"/>
        <v>SATURDAY</v>
      </c>
      <c r="N163" s="4" t="str">
        <f t="shared" si="18"/>
        <v>05:00-06:00</v>
      </c>
      <c r="O163" t="str">
        <f t="shared" si="19"/>
        <v>LEISURE</v>
      </c>
      <c r="P163" t="str">
        <f t="shared" si="20"/>
        <v>NA</v>
      </c>
    </row>
    <row r="164" spans="1:16" x14ac:dyDescent="0.3">
      <c r="A164" s="4">
        <v>4</v>
      </c>
      <c r="B164" s="4" t="s">
        <v>157</v>
      </c>
      <c r="C164" s="4" t="s">
        <v>3</v>
      </c>
      <c r="D164" s="4" t="s">
        <v>9</v>
      </c>
      <c r="E164" s="4" t="str">
        <f t="shared" si="15"/>
        <v>M</v>
      </c>
      <c r="F164" s="4">
        <v>1</v>
      </c>
      <c r="G164" s="4" t="str">
        <f t="shared" si="16"/>
        <v>M1</v>
      </c>
      <c r="H164" s="4" t="s">
        <v>96</v>
      </c>
      <c r="I164" s="4" t="s">
        <v>95</v>
      </c>
      <c r="J164" s="4" t="s">
        <v>95</v>
      </c>
      <c r="K164" s="4" t="s">
        <v>95</v>
      </c>
      <c r="L164" t="str">
        <f t="shared" si="14"/>
        <v>NAM1</v>
      </c>
      <c r="M164" s="4" t="str">
        <f t="shared" si="17"/>
        <v>MONDAY</v>
      </c>
      <c r="N164" s="4" t="str">
        <f t="shared" si="18"/>
        <v>09:00-10:00</v>
      </c>
      <c r="O164" t="str">
        <f t="shared" si="19"/>
        <v>LEISURE</v>
      </c>
      <c r="P164" t="str">
        <f t="shared" si="20"/>
        <v>NA</v>
      </c>
    </row>
    <row r="165" spans="1:16" x14ac:dyDescent="0.3">
      <c r="A165" s="4">
        <v>4</v>
      </c>
      <c r="B165" s="4" t="s">
        <v>157</v>
      </c>
      <c r="C165" s="4" t="s">
        <v>3</v>
      </c>
      <c r="D165" s="4" t="s">
        <v>13</v>
      </c>
      <c r="E165" s="4" t="str">
        <f t="shared" si="15"/>
        <v>M</v>
      </c>
      <c r="F165" s="4">
        <v>2</v>
      </c>
      <c r="G165" s="4" t="str">
        <f t="shared" si="16"/>
        <v>M2</v>
      </c>
      <c r="H165" s="4" t="s">
        <v>105</v>
      </c>
      <c r="I165" s="23" t="s">
        <v>118</v>
      </c>
      <c r="J165" s="4" t="s">
        <v>158</v>
      </c>
      <c r="K165" s="23" t="s">
        <v>198</v>
      </c>
      <c r="L165" t="str">
        <f t="shared" si="14"/>
        <v>PSM2</v>
      </c>
      <c r="M165" s="4" t="str">
        <f t="shared" si="17"/>
        <v>MONDAY</v>
      </c>
      <c r="N165" s="4" t="str">
        <f t="shared" si="18"/>
        <v>10:00-11:00</v>
      </c>
      <c r="O165" t="str">
        <f t="shared" si="19"/>
        <v>GE432</v>
      </c>
      <c r="P165" t="str">
        <f t="shared" si="20"/>
        <v>Dr.Punam Singh</v>
      </c>
    </row>
    <row r="166" spans="1:16" x14ac:dyDescent="0.3">
      <c r="A166" s="4">
        <v>4</v>
      </c>
      <c r="B166" s="4" t="s">
        <v>157</v>
      </c>
      <c r="C166" s="4" t="s">
        <v>3</v>
      </c>
      <c r="D166" s="4" t="s">
        <v>15</v>
      </c>
      <c r="E166" s="4" t="str">
        <f t="shared" si="15"/>
        <v>M</v>
      </c>
      <c r="F166" s="4">
        <v>3</v>
      </c>
      <c r="G166" s="4" t="str">
        <f t="shared" si="16"/>
        <v>M3</v>
      </c>
      <c r="H166" s="4" t="s">
        <v>105</v>
      </c>
      <c r="I166" s="23" t="s">
        <v>118</v>
      </c>
      <c r="J166" s="4" t="s">
        <v>158</v>
      </c>
      <c r="K166" s="4" t="s">
        <v>198</v>
      </c>
      <c r="L166" t="str">
        <f t="shared" si="14"/>
        <v>PSM3</v>
      </c>
      <c r="M166" s="4" t="str">
        <f t="shared" si="17"/>
        <v>MONDAY</v>
      </c>
      <c r="N166" s="4" t="str">
        <f t="shared" si="18"/>
        <v>11:00-12:00</v>
      </c>
      <c r="O166" t="str">
        <f t="shared" si="19"/>
        <v>GE432</v>
      </c>
      <c r="P166" t="str">
        <f t="shared" si="20"/>
        <v>Dr.Punam Singh</v>
      </c>
    </row>
    <row r="167" spans="1:16" x14ac:dyDescent="0.3">
      <c r="A167" s="4">
        <v>4</v>
      </c>
      <c r="B167" s="4" t="s">
        <v>157</v>
      </c>
      <c r="C167" s="4" t="s">
        <v>3</v>
      </c>
      <c r="D167" s="4" t="s">
        <v>19</v>
      </c>
      <c r="E167" s="4" t="str">
        <f t="shared" si="15"/>
        <v>M</v>
      </c>
      <c r="F167" s="4">
        <v>4</v>
      </c>
      <c r="G167" s="4" t="str">
        <f t="shared" si="16"/>
        <v>M4</v>
      </c>
      <c r="H167" s="4" t="s">
        <v>105</v>
      </c>
      <c r="I167" s="23" t="s">
        <v>118</v>
      </c>
      <c r="J167" s="4" t="s">
        <v>158</v>
      </c>
      <c r="K167" s="4" t="s">
        <v>198</v>
      </c>
      <c r="L167" t="str">
        <f t="shared" si="14"/>
        <v>PSM4</v>
      </c>
      <c r="M167" s="4" t="str">
        <f t="shared" si="17"/>
        <v>MONDAY</v>
      </c>
      <c r="N167" s="4" t="str">
        <f t="shared" si="18"/>
        <v>12:00-01:00</v>
      </c>
      <c r="O167" t="str">
        <f t="shared" si="19"/>
        <v>GE432</v>
      </c>
      <c r="P167" t="str">
        <f t="shared" si="20"/>
        <v>Dr.Punam Singh</v>
      </c>
    </row>
    <row r="168" spans="1:16" x14ac:dyDescent="0.3">
      <c r="A168" s="4">
        <v>4</v>
      </c>
      <c r="B168" s="4" t="s">
        <v>157</v>
      </c>
      <c r="C168" s="4" t="s">
        <v>3</v>
      </c>
      <c r="D168" s="4" t="s">
        <v>152</v>
      </c>
      <c r="E168" s="4" t="str">
        <f t="shared" si="15"/>
        <v>M</v>
      </c>
      <c r="F168" s="4">
        <v>5</v>
      </c>
      <c r="G168" s="4" t="str">
        <f t="shared" si="16"/>
        <v>M5</v>
      </c>
      <c r="H168" s="4" t="s">
        <v>94</v>
      </c>
      <c r="I168" s="4" t="s">
        <v>95</v>
      </c>
      <c r="J168" s="4" t="s">
        <v>95</v>
      </c>
      <c r="K168" s="4" t="s">
        <v>95</v>
      </c>
      <c r="L168" t="str">
        <f t="shared" si="14"/>
        <v>NAM5</v>
      </c>
      <c r="M168" s="4" t="str">
        <f t="shared" si="17"/>
        <v>MONDAY</v>
      </c>
      <c r="N168" s="4" t="str">
        <f t="shared" si="18"/>
        <v>01:00-02:00</v>
      </c>
      <c r="O168" t="str">
        <f t="shared" si="19"/>
        <v>LUNCH</v>
      </c>
      <c r="P168" t="str">
        <f t="shared" si="20"/>
        <v>NA</v>
      </c>
    </row>
    <row r="169" spans="1:16" x14ac:dyDescent="0.3">
      <c r="A169" s="4">
        <v>4</v>
      </c>
      <c r="B169" s="4" t="s">
        <v>157</v>
      </c>
      <c r="C169" s="4" t="s">
        <v>3</v>
      </c>
      <c r="D169" s="4" t="s">
        <v>22</v>
      </c>
      <c r="E169" s="4" t="str">
        <f t="shared" si="15"/>
        <v>M</v>
      </c>
      <c r="F169" s="4">
        <v>6</v>
      </c>
      <c r="G169" s="4" t="str">
        <f t="shared" si="16"/>
        <v>M6</v>
      </c>
      <c r="H169" s="4" t="s">
        <v>110</v>
      </c>
      <c r="I169" s="23" t="s">
        <v>114</v>
      </c>
      <c r="J169" s="23" t="s">
        <v>115</v>
      </c>
      <c r="K169" s="4" t="s">
        <v>199</v>
      </c>
      <c r="L169" t="str">
        <f t="shared" si="14"/>
        <v>PJM6</v>
      </c>
      <c r="M169" s="4" t="str">
        <f t="shared" si="17"/>
        <v>MONDAY</v>
      </c>
      <c r="N169" s="4" t="str">
        <f t="shared" si="18"/>
        <v>02:00-03:00</v>
      </c>
      <c r="O169" t="str">
        <f t="shared" si="19"/>
        <v>GE431</v>
      </c>
      <c r="P169" t="str">
        <f t="shared" si="20"/>
        <v>Prof. P. Jyothi</v>
      </c>
    </row>
    <row r="170" spans="1:16" x14ac:dyDescent="0.3">
      <c r="A170" s="4">
        <v>4</v>
      </c>
      <c r="B170" s="4" t="s">
        <v>157</v>
      </c>
      <c r="C170" s="4" t="s">
        <v>3</v>
      </c>
      <c r="D170" s="4" t="s">
        <v>25</v>
      </c>
      <c r="E170" s="4" t="str">
        <f t="shared" si="15"/>
        <v>M</v>
      </c>
      <c r="F170" s="4">
        <v>7</v>
      </c>
      <c r="G170" s="4" t="str">
        <f t="shared" si="16"/>
        <v>M7</v>
      </c>
      <c r="H170" s="4" t="s">
        <v>110</v>
      </c>
      <c r="I170" s="23" t="s">
        <v>114</v>
      </c>
      <c r="J170" s="23" t="s">
        <v>115</v>
      </c>
      <c r="K170" s="4" t="s">
        <v>199</v>
      </c>
      <c r="L170" t="str">
        <f t="shared" si="14"/>
        <v>PJM7</v>
      </c>
      <c r="M170" s="4" t="str">
        <f t="shared" si="17"/>
        <v>MONDAY</v>
      </c>
      <c r="N170" s="4" t="str">
        <f t="shared" si="18"/>
        <v>03:00-04:00</v>
      </c>
      <c r="O170" t="str">
        <f t="shared" si="19"/>
        <v>GE431</v>
      </c>
      <c r="P170" t="str">
        <f t="shared" si="20"/>
        <v>Prof. P. Jyothi</v>
      </c>
    </row>
    <row r="171" spans="1:16" x14ac:dyDescent="0.3">
      <c r="A171" s="4">
        <v>4</v>
      </c>
      <c r="B171" s="4" t="s">
        <v>157</v>
      </c>
      <c r="C171" s="4" t="s">
        <v>3</v>
      </c>
      <c r="D171" s="4" t="s">
        <v>26</v>
      </c>
      <c r="E171" s="4" t="str">
        <f t="shared" si="15"/>
        <v>M</v>
      </c>
      <c r="F171" s="4">
        <v>8</v>
      </c>
      <c r="G171" s="4" t="str">
        <f t="shared" si="16"/>
        <v>M8</v>
      </c>
      <c r="H171" s="4" t="s">
        <v>110</v>
      </c>
      <c r="I171" s="23" t="s">
        <v>114</v>
      </c>
      <c r="J171" s="23" t="s">
        <v>115</v>
      </c>
      <c r="K171" s="4" t="s">
        <v>199</v>
      </c>
      <c r="L171" t="str">
        <f t="shared" si="14"/>
        <v>PJM8</v>
      </c>
      <c r="M171" s="4" t="str">
        <f t="shared" si="17"/>
        <v>MONDAY</v>
      </c>
      <c r="N171" s="4" t="str">
        <f t="shared" si="18"/>
        <v>04:00-05:00</v>
      </c>
      <c r="O171" t="str">
        <f t="shared" si="19"/>
        <v>GE431</v>
      </c>
      <c r="P171" t="str">
        <f t="shared" si="20"/>
        <v>Prof. P. Jyothi</v>
      </c>
    </row>
    <row r="172" spans="1:16" x14ac:dyDescent="0.3">
      <c r="A172" s="4">
        <v>4</v>
      </c>
      <c r="B172" s="4" t="s">
        <v>157</v>
      </c>
      <c r="C172" s="4" t="s">
        <v>3</v>
      </c>
      <c r="D172" s="4" t="s">
        <v>29</v>
      </c>
      <c r="E172" s="4" t="str">
        <f t="shared" si="15"/>
        <v>M</v>
      </c>
      <c r="F172" s="4">
        <v>9</v>
      </c>
      <c r="G172" s="4" t="str">
        <f t="shared" si="16"/>
        <v>M9</v>
      </c>
      <c r="H172" s="4" t="s">
        <v>96</v>
      </c>
      <c r="I172" s="23" t="s">
        <v>95</v>
      </c>
      <c r="J172" s="4" t="s">
        <v>95</v>
      </c>
      <c r="K172" s="4" t="s">
        <v>95</v>
      </c>
      <c r="L172" t="str">
        <f t="shared" si="14"/>
        <v>NAM9</v>
      </c>
      <c r="M172" s="4" t="str">
        <f t="shared" si="17"/>
        <v>MONDAY</v>
      </c>
      <c r="N172" s="4" t="str">
        <f t="shared" si="18"/>
        <v>05:00-06:00</v>
      </c>
      <c r="O172" t="str">
        <f t="shared" si="19"/>
        <v>LEISURE</v>
      </c>
      <c r="P172" t="str">
        <f t="shared" si="20"/>
        <v>NA</v>
      </c>
    </row>
    <row r="173" spans="1:16" x14ac:dyDescent="0.3">
      <c r="A173" s="4">
        <v>4</v>
      </c>
      <c r="B173" s="4" t="s">
        <v>157</v>
      </c>
      <c r="C173" s="4" t="s">
        <v>4</v>
      </c>
      <c r="D173" s="4" t="s">
        <v>9</v>
      </c>
      <c r="E173" s="4" t="str">
        <f t="shared" si="15"/>
        <v>T</v>
      </c>
      <c r="F173" s="4">
        <v>1</v>
      </c>
      <c r="G173" s="4" t="str">
        <f t="shared" si="16"/>
        <v>T1</v>
      </c>
      <c r="H173" s="4" t="s">
        <v>96</v>
      </c>
      <c r="I173" s="23" t="s">
        <v>95</v>
      </c>
      <c r="J173" s="4" t="s">
        <v>95</v>
      </c>
      <c r="K173" s="4" t="s">
        <v>95</v>
      </c>
      <c r="L173" t="str">
        <f t="shared" si="14"/>
        <v>NAT1</v>
      </c>
      <c r="M173" s="4" t="str">
        <f t="shared" si="17"/>
        <v>TUESDAY</v>
      </c>
      <c r="N173" s="4" t="str">
        <f t="shared" si="18"/>
        <v>09:00-10:00</v>
      </c>
      <c r="O173" t="str">
        <f t="shared" si="19"/>
        <v>LEISURE</v>
      </c>
      <c r="P173" t="str">
        <f t="shared" si="20"/>
        <v>NA</v>
      </c>
    </row>
    <row r="174" spans="1:16" x14ac:dyDescent="0.3">
      <c r="A174" s="4">
        <v>4</v>
      </c>
      <c r="B174" s="4" t="s">
        <v>157</v>
      </c>
      <c r="C174" s="4" t="s">
        <v>4</v>
      </c>
      <c r="D174" s="4" t="s">
        <v>13</v>
      </c>
      <c r="E174" s="4" t="str">
        <f t="shared" si="15"/>
        <v>T</v>
      </c>
      <c r="F174" s="4">
        <v>2</v>
      </c>
      <c r="G174" s="4" t="str">
        <f t="shared" si="16"/>
        <v>T2</v>
      </c>
      <c r="H174" s="4" t="s">
        <v>106</v>
      </c>
      <c r="I174" s="23" t="s">
        <v>120</v>
      </c>
      <c r="J174" s="14" t="s">
        <v>46</v>
      </c>
      <c r="K174" s="23" t="s">
        <v>205</v>
      </c>
      <c r="L174" t="str">
        <f t="shared" si="14"/>
        <v>SST2</v>
      </c>
      <c r="M174" s="4" t="str">
        <f t="shared" si="17"/>
        <v>TUESDAY</v>
      </c>
      <c r="N174" s="4" t="str">
        <f t="shared" si="18"/>
        <v>10:00-11:00</v>
      </c>
      <c r="O174" t="str">
        <f t="shared" si="19"/>
        <v>GE441</v>
      </c>
      <c r="P174" t="str">
        <f t="shared" si="20"/>
        <v>Dr. Sapna Singh</v>
      </c>
    </row>
    <row r="175" spans="1:16" x14ac:dyDescent="0.3">
      <c r="A175" s="4">
        <v>4</v>
      </c>
      <c r="B175" s="4" t="s">
        <v>157</v>
      </c>
      <c r="C175" s="4" t="s">
        <v>4</v>
      </c>
      <c r="D175" s="4" t="s">
        <v>15</v>
      </c>
      <c r="E175" s="4" t="str">
        <f t="shared" si="15"/>
        <v>T</v>
      </c>
      <c r="F175" s="4">
        <v>3</v>
      </c>
      <c r="G175" s="4" t="str">
        <f t="shared" si="16"/>
        <v>T3</v>
      </c>
      <c r="H175" s="4" t="s">
        <v>106</v>
      </c>
      <c r="I175" s="23" t="s">
        <v>120</v>
      </c>
      <c r="J175" s="14" t="s">
        <v>46</v>
      </c>
      <c r="K175" s="4" t="s">
        <v>205</v>
      </c>
      <c r="L175" t="str">
        <f t="shared" si="14"/>
        <v>SST3</v>
      </c>
      <c r="M175" s="4" t="str">
        <f t="shared" si="17"/>
        <v>TUESDAY</v>
      </c>
      <c r="N175" s="4" t="str">
        <f t="shared" si="18"/>
        <v>11:00-12:00</v>
      </c>
      <c r="O175" t="str">
        <f t="shared" si="19"/>
        <v>GE441</v>
      </c>
      <c r="P175" t="str">
        <f t="shared" si="20"/>
        <v>Dr. Sapna Singh</v>
      </c>
    </row>
    <row r="176" spans="1:16" x14ac:dyDescent="0.3">
      <c r="A176" s="4">
        <v>4</v>
      </c>
      <c r="B176" s="4" t="s">
        <v>157</v>
      </c>
      <c r="C176" s="4" t="s">
        <v>4</v>
      </c>
      <c r="D176" s="4" t="s">
        <v>19</v>
      </c>
      <c r="E176" s="4" t="str">
        <f t="shared" si="15"/>
        <v>T</v>
      </c>
      <c r="F176" s="4">
        <v>4</v>
      </c>
      <c r="G176" s="4" t="str">
        <f t="shared" si="16"/>
        <v>T4</v>
      </c>
      <c r="H176" s="4" t="s">
        <v>106</v>
      </c>
      <c r="I176" s="23" t="s">
        <v>120</v>
      </c>
      <c r="J176" s="14" t="s">
        <v>46</v>
      </c>
      <c r="K176" s="4" t="s">
        <v>205</v>
      </c>
      <c r="L176" t="str">
        <f t="shared" si="14"/>
        <v>SST4</v>
      </c>
      <c r="M176" s="4" t="str">
        <f t="shared" si="17"/>
        <v>TUESDAY</v>
      </c>
      <c r="N176" s="4" t="str">
        <f t="shared" si="18"/>
        <v>12:00-01:00</v>
      </c>
      <c r="O176" t="str">
        <f t="shared" si="19"/>
        <v>GE441</v>
      </c>
      <c r="P176" t="str">
        <f t="shared" si="20"/>
        <v>Dr. Sapna Singh</v>
      </c>
    </row>
    <row r="177" spans="1:16" x14ac:dyDescent="0.3">
      <c r="A177" s="4">
        <v>4</v>
      </c>
      <c r="B177" s="4" t="s">
        <v>157</v>
      </c>
      <c r="C177" s="4" t="s">
        <v>4</v>
      </c>
      <c r="D177" s="4" t="s">
        <v>152</v>
      </c>
      <c r="E177" s="4" t="str">
        <f t="shared" si="15"/>
        <v>T</v>
      </c>
      <c r="F177" s="4">
        <v>5</v>
      </c>
      <c r="G177" s="4" t="str">
        <f t="shared" si="16"/>
        <v>T5</v>
      </c>
      <c r="H177" s="4" t="s">
        <v>94</v>
      </c>
      <c r="I177" s="23" t="s">
        <v>95</v>
      </c>
      <c r="J177" s="4" t="s">
        <v>95</v>
      </c>
      <c r="K177" s="4" t="s">
        <v>95</v>
      </c>
      <c r="L177" t="str">
        <f t="shared" si="14"/>
        <v>NAT5</v>
      </c>
      <c r="M177" s="4" t="str">
        <f t="shared" si="17"/>
        <v>TUESDAY</v>
      </c>
      <c r="N177" s="4" t="str">
        <f t="shared" si="18"/>
        <v>01:00-02:00</v>
      </c>
      <c r="O177" t="str">
        <f t="shared" si="19"/>
        <v>LUNCH</v>
      </c>
      <c r="P177" t="str">
        <f t="shared" si="20"/>
        <v>NA</v>
      </c>
    </row>
    <row r="178" spans="1:16" x14ac:dyDescent="0.3">
      <c r="A178" s="4">
        <v>4</v>
      </c>
      <c r="B178" s="4" t="s">
        <v>157</v>
      </c>
      <c r="C178" s="4" t="s">
        <v>4</v>
      </c>
      <c r="D178" s="4" t="s">
        <v>22</v>
      </c>
      <c r="E178" s="4" t="str">
        <f t="shared" si="15"/>
        <v>T</v>
      </c>
      <c r="F178" s="4">
        <v>6</v>
      </c>
      <c r="G178" s="4" t="str">
        <f t="shared" si="16"/>
        <v>T6</v>
      </c>
      <c r="H178" s="4" t="s">
        <v>111</v>
      </c>
      <c r="I178" s="23" t="s">
        <v>121</v>
      </c>
      <c r="J178" s="4" t="s">
        <v>122</v>
      </c>
      <c r="K178" s="23" t="s">
        <v>206</v>
      </c>
      <c r="L178" t="str">
        <f t="shared" si="14"/>
        <v>CST6</v>
      </c>
      <c r="M178" s="4" t="str">
        <f t="shared" si="17"/>
        <v>TUESDAY</v>
      </c>
      <c r="N178" s="4" t="str">
        <f t="shared" si="18"/>
        <v>02:00-03:00</v>
      </c>
      <c r="O178" t="str">
        <f t="shared" si="19"/>
        <v>GE442</v>
      </c>
      <c r="P178" t="str">
        <f t="shared" si="20"/>
        <v>Prof. Chetan Srivastava</v>
      </c>
    </row>
    <row r="179" spans="1:16" x14ac:dyDescent="0.3">
      <c r="A179" s="4">
        <v>4</v>
      </c>
      <c r="B179" s="4" t="s">
        <v>157</v>
      </c>
      <c r="C179" s="4" t="s">
        <v>4</v>
      </c>
      <c r="D179" s="4" t="s">
        <v>25</v>
      </c>
      <c r="E179" s="4" t="str">
        <f t="shared" si="15"/>
        <v>T</v>
      </c>
      <c r="F179" s="4">
        <v>7</v>
      </c>
      <c r="G179" s="4" t="str">
        <f t="shared" si="16"/>
        <v>T7</v>
      </c>
      <c r="H179" s="4" t="s">
        <v>111</v>
      </c>
      <c r="I179" s="23" t="s">
        <v>121</v>
      </c>
      <c r="J179" s="4" t="s">
        <v>122</v>
      </c>
      <c r="K179" s="4" t="s">
        <v>206</v>
      </c>
      <c r="L179" t="str">
        <f t="shared" si="14"/>
        <v>CST7</v>
      </c>
      <c r="M179" s="4" t="str">
        <f t="shared" si="17"/>
        <v>TUESDAY</v>
      </c>
      <c r="N179" s="4" t="str">
        <f t="shared" si="18"/>
        <v>03:00-04:00</v>
      </c>
      <c r="O179" t="str">
        <f t="shared" si="19"/>
        <v>GE442</v>
      </c>
      <c r="P179" t="str">
        <f t="shared" si="20"/>
        <v>Prof. Chetan Srivastava</v>
      </c>
    </row>
    <row r="180" spans="1:16" x14ac:dyDescent="0.3">
      <c r="A180" s="4">
        <v>4</v>
      </c>
      <c r="B180" s="4" t="s">
        <v>157</v>
      </c>
      <c r="C180" s="4" t="s">
        <v>4</v>
      </c>
      <c r="D180" s="4" t="s">
        <v>26</v>
      </c>
      <c r="E180" s="4" t="str">
        <f t="shared" si="15"/>
        <v>T</v>
      </c>
      <c r="F180" s="4">
        <v>8</v>
      </c>
      <c r="G180" s="4" t="str">
        <f t="shared" si="16"/>
        <v>T8</v>
      </c>
      <c r="H180" s="4" t="s">
        <v>111</v>
      </c>
      <c r="I180" s="23" t="s">
        <v>121</v>
      </c>
      <c r="J180" s="4" t="s">
        <v>122</v>
      </c>
      <c r="K180" s="4" t="s">
        <v>206</v>
      </c>
      <c r="L180" t="str">
        <f t="shared" si="14"/>
        <v>CST8</v>
      </c>
      <c r="M180" s="4" t="str">
        <f t="shared" si="17"/>
        <v>TUESDAY</v>
      </c>
      <c r="N180" s="4" t="str">
        <f t="shared" si="18"/>
        <v>04:00-05:00</v>
      </c>
      <c r="O180" t="str">
        <f t="shared" si="19"/>
        <v>GE442</v>
      </c>
      <c r="P180" t="str">
        <f t="shared" si="20"/>
        <v>Prof. Chetan Srivastava</v>
      </c>
    </row>
    <row r="181" spans="1:16" x14ac:dyDescent="0.3">
      <c r="A181" s="4">
        <v>4</v>
      </c>
      <c r="B181" s="4" t="s">
        <v>157</v>
      </c>
      <c r="C181" s="4" t="s">
        <v>4</v>
      </c>
      <c r="D181" s="4" t="s">
        <v>29</v>
      </c>
      <c r="E181" s="4" t="str">
        <f t="shared" si="15"/>
        <v>T</v>
      </c>
      <c r="F181" s="4">
        <v>9</v>
      </c>
      <c r="G181" s="4" t="str">
        <f t="shared" si="16"/>
        <v>T9</v>
      </c>
      <c r="H181" s="4" t="s">
        <v>96</v>
      </c>
      <c r="I181" s="23" t="s">
        <v>95</v>
      </c>
      <c r="J181" s="4" t="s">
        <v>95</v>
      </c>
      <c r="K181" s="4" t="s">
        <v>95</v>
      </c>
      <c r="L181" t="str">
        <f t="shared" si="14"/>
        <v>NAT9</v>
      </c>
      <c r="M181" s="4" t="str">
        <f t="shared" si="17"/>
        <v>TUESDAY</v>
      </c>
      <c r="N181" s="4" t="str">
        <f t="shared" si="18"/>
        <v>05:00-06:00</v>
      </c>
      <c r="O181" t="str">
        <f t="shared" si="19"/>
        <v>LEISURE</v>
      </c>
      <c r="P181" t="str">
        <f t="shared" si="20"/>
        <v>NA</v>
      </c>
    </row>
    <row r="182" spans="1:16" x14ac:dyDescent="0.3">
      <c r="A182" s="4">
        <v>4</v>
      </c>
      <c r="B182" s="4" t="s">
        <v>157</v>
      </c>
      <c r="C182" s="4" t="s">
        <v>5</v>
      </c>
      <c r="D182" s="4" t="s">
        <v>9</v>
      </c>
      <c r="E182" s="4" t="str">
        <f t="shared" si="15"/>
        <v>W</v>
      </c>
      <c r="F182" s="4">
        <v>1</v>
      </c>
      <c r="G182" s="4" t="str">
        <f t="shared" si="16"/>
        <v>W1</v>
      </c>
      <c r="H182" s="4" t="s">
        <v>101</v>
      </c>
      <c r="I182" s="23" t="s">
        <v>91</v>
      </c>
      <c r="J182" s="23" t="s">
        <v>70</v>
      </c>
      <c r="K182" s="23" t="s">
        <v>204</v>
      </c>
      <c r="L182" t="str">
        <f t="shared" si="14"/>
        <v>PKW1</v>
      </c>
      <c r="M182" s="4" t="str">
        <f t="shared" si="17"/>
        <v>WEDNESDAY</v>
      </c>
      <c r="N182" s="4" t="str">
        <f t="shared" si="18"/>
        <v>09:00-10:00</v>
      </c>
      <c r="O182" t="str">
        <f t="shared" si="19"/>
        <v>GE471</v>
      </c>
      <c r="P182" t="str">
        <f t="shared" si="20"/>
        <v>Dr. Pramod Kumar Mishra</v>
      </c>
    </row>
    <row r="183" spans="1:16" x14ac:dyDescent="0.3">
      <c r="A183" s="4">
        <v>4</v>
      </c>
      <c r="B183" s="4" t="s">
        <v>157</v>
      </c>
      <c r="C183" s="4" t="s">
        <v>5</v>
      </c>
      <c r="D183" s="4" t="s">
        <v>13</v>
      </c>
      <c r="E183" s="4" t="str">
        <f t="shared" si="15"/>
        <v>W</v>
      </c>
      <c r="F183" s="4">
        <v>2</v>
      </c>
      <c r="G183" s="4" t="str">
        <f t="shared" si="16"/>
        <v>W2</v>
      </c>
      <c r="H183" s="4" t="s">
        <v>101</v>
      </c>
      <c r="I183" s="23" t="s">
        <v>91</v>
      </c>
      <c r="J183" s="23" t="s">
        <v>70</v>
      </c>
      <c r="K183" s="4" t="s">
        <v>204</v>
      </c>
      <c r="L183" t="str">
        <f t="shared" si="14"/>
        <v>PKW2</v>
      </c>
      <c r="M183" s="4" t="str">
        <f t="shared" si="17"/>
        <v>WEDNESDAY</v>
      </c>
      <c r="N183" s="4" t="str">
        <f t="shared" si="18"/>
        <v>10:00-11:00</v>
      </c>
      <c r="O183" t="str">
        <f t="shared" si="19"/>
        <v>GE471</v>
      </c>
      <c r="P183" t="str">
        <f t="shared" si="20"/>
        <v>Dr. Pramod Kumar Mishra</v>
      </c>
    </row>
    <row r="184" spans="1:16" x14ac:dyDescent="0.3">
      <c r="A184" s="4">
        <v>4</v>
      </c>
      <c r="B184" s="4" t="s">
        <v>157</v>
      </c>
      <c r="C184" s="4" t="s">
        <v>5</v>
      </c>
      <c r="D184" s="4" t="s">
        <v>15</v>
      </c>
      <c r="E184" s="4" t="str">
        <f t="shared" si="15"/>
        <v>W</v>
      </c>
      <c r="F184" s="4">
        <v>3</v>
      </c>
      <c r="G184" s="4" t="str">
        <f t="shared" si="16"/>
        <v>W3</v>
      </c>
      <c r="H184" s="4" t="s">
        <v>101</v>
      </c>
      <c r="I184" s="23" t="s">
        <v>91</v>
      </c>
      <c r="J184" s="23" t="s">
        <v>70</v>
      </c>
      <c r="K184" s="4" t="s">
        <v>204</v>
      </c>
      <c r="L184" t="str">
        <f t="shared" si="14"/>
        <v>PKW3</v>
      </c>
      <c r="M184" s="4" t="str">
        <f t="shared" si="17"/>
        <v>WEDNESDAY</v>
      </c>
      <c r="N184" s="4" t="str">
        <f t="shared" si="18"/>
        <v>11:00-12:00</v>
      </c>
      <c r="O184" t="str">
        <f t="shared" si="19"/>
        <v>GE471</v>
      </c>
      <c r="P184" t="str">
        <f t="shared" si="20"/>
        <v>Dr. Pramod Kumar Mishra</v>
      </c>
    </row>
    <row r="185" spans="1:16" x14ac:dyDescent="0.3">
      <c r="A185" s="4">
        <v>4</v>
      </c>
      <c r="B185" s="4" t="s">
        <v>157</v>
      </c>
      <c r="C185" s="4" t="s">
        <v>5</v>
      </c>
      <c r="D185" s="4" t="s">
        <v>19</v>
      </c>
      <c r="E185" s="4" t="str">
        <f t="shared" si="15"/>
        <v>W</v>
      </c>
      <c r="F185" s="4">
        <v>4</v>
      </c>
      <c r="G185" s="4" t="str">
        <f t="shared" si="16"/>
        <v>W4</v>
      </c>
      <c r="H185" s="4" t="s">
        <v>96</v>
      </c>
      <c r="I185" s="23" t="s">
        <v>95</v>
      </c>
      <c r="J185" s="23" t="s">
        <v>95</v>
      </c>
      <c r="K185" s="4" t="s">
        <v>95</v>
      </c>
      <c r="L185" t="str">
        <f t="shared" si="14"/>
        <v>NAW4</v>
      </c>
      <c r="M185" s="4" t="str">
        <f t="shared" si="17"/>
        <v>WEDNESDAY</v>
      </c>
      <c r="N185" s="4" t="str">
        <f t="shared" si="18"/>
        <v>12:00-01:00</v>
      </c>
      <c r="O185" t="str">
        <f t="shared" si="19"/>
        <v>LEISURE</v>
      </c>
      <c r="P185" t="str">
        <f t="shared" si="20"/>
        <v>NA</v>
      </c>
    </row>
    <row r="186" spans="1:16" x14ac:dyDescent="0.3">
      <c r="A186" s="4">
        <v>4</v>
      </c>
      <c r="B186" s="4" t="s">
        <v>157</v>
      </c>
      <c r="C186" s="4" t="s">
        <v>5</v>
      </c>
      <c r="D186" s="4" t="s">
        <v>152</v>
      </c>
      <c r="E186" s="4" t="str">
        <f t="shared" si="15"/>
        <v>W</v>
      </c>
      <c r="F186" s="4">
        <v>5</v>
      </c>
      <c r="G186" s="4" t="str">
        <f t="shared" si="16"/>
        <v>W5</v>
      </c>
      <c r="H186" s="4" t="s">
        <v>94</v>
      </c>
      <c r="I186" s="4" t="s">
        <v>95</v>
      </c>
      <c r="J186" s="4" t="s">
        <v>95</v>
      </c>
      <c r="K186" s="4" t="s">
        <v>95</v>
      </c>
      <c r="L186" t="str">
        <f t="shared" si="14"/>
        <v>NAW5</v>
      </c>
      <c r="M186" s="4" t="str">
        <f t="shared" si="17"/>
        <v>WEDNESDAY</v>
      </c>
      <c r="N186" s="4" t="str">
        <f t="shared" si="18"/>
        <v>01:00-02:00</v>
      </c>
      <c r="O186" t="str">
        <f t="shared" si="19"/>
        <v>LUNCH</v>
      </c>
      <c r="P186" t="str">
        <f t="shared" si="20"/>
        <v>NA</v>
      </c>
    </row>
    <row r="187" spans="1:16" x14ac:dyDescent="0.3">
      <c r="A187" s="4">
        <v>4</v>
      </c>
      <c r="B187" s="4" t="s">
        <v>157</v>
      </c>
      <c r="C187" s="4" t="s">
        <v>5</v>
      </c>
      <c r="D187" s="4" t="s">
        <v>22</v>
      </c>
      <c r="E187" s="4" t="str">
        <f t="shared" si="15"/>
        <v>W</v>
      </c>
      <c r="F187" s="4">
        <v>6</v>
      </c>
      <c r="G187" s="4" t="str">
        <f t="shared" si="16"/>
        <v>W6</v>
      </c>
      <c r="H187" s="4" t="s">
        <v>96</v>
      </c>
      <c r="I187" s="4" t="s">
        <v>95</v>
      </c>
      <c r="J187" s="4" t="s">
        <v>95</v>
      </c>
      <c r="K187" s="4" t="s">
        <v>95</v>
      </c>
      <c r="L187" t="str">
        <f t="shared" si="14"/>
        <v>NAW6</v>
      </c>
      <c r="M187" s="4" t="str">
        <f t="shared" si="17"/>
        <v>WEDNESDAY</v>
      </c>
      <c r="N187" s="4" t="str">
        <f t="shared" si="18"/>
        <v>02:00-03:00</v>
      </c>
      <c r="O187" t="str">
        <f t="shared" si="19"/>
        <v>LEISURE</v>
      </c>
      <c r="P187" t="str">
        <f t="shared" si="20"/>
        <v>NA</v>
      </c>
    </row>
    <row r="188" spans="1:16" x14ac:dyDescent="0.3">
      <c r="A188" s="4">
        <v>4</v>
      </c>
      <c r="B188" s="4" t="s">
        <v>157</v>
      </c>
      <c r="C188" s="4" t="s">
        <v>5</v>
      </c>
      <c r="D188" s="4" t="s">
        <v>25</v>
      </c>
      <c r="E188" s="4" t="str">
        <f t="shared" si="15"/>
        <v>W</v>
      </c>
      <c r="F188" s="4">
        <v>7</v>
      </c>
      <c r="G188" s="4" t="str">
        <f t="shared" si="16"/>
        <v>W7</v>
      </c>
      <c r="H188" s="4" t="s">
        <v>96</v>
      </c>
      <c r="I188" s="4" t="s">
        <v>95</v>
      </c>
      <c r="J188" s="4" t="s">
        <v>95</v>
      </c>
      <c r="K188" s="4" t="s">
        <v>95</v>
      </c>
      <c r="L188" t="str">
        <f t="shared" si="14"/>
        <v>NAW7</v>
      </c>
      <c r="M188" s="4" t="str">
        <f t="shared" si="17"/>
        <v>WEDNESDAY</v>
      </c>
      <c r="N188" s="4" t="str">
        <f t="shared" si="18"/>
        <v>03:00-04:00</v>
      </c>
      <c r="O188" t="str">
        <f t="shared" si="19"/>
        <v>LEISURE</v>
      </c>
      <c r="P188" t="str">
        <f t="shared" si="20"/>
        <v>NA</v>
      </c>
    </row>
    <row r="189" spans="1:16" x14ac:dyDescent="0.3">
      <c r="A189" s="4">
        <v>4</v>
      </c>
      <c r="B189" s="4" t="s">
        <v>157</v>
      </c>
      <c r="C189" s="4" t="s">
        <v>5</v>
      </c>
      <c r="D189" s="4" t="s">
        <v>26</v>
      </c>
      <c r="E189" s="4" t="str">
        <f t="shared" si="15"/>
        <v>W</v>
      </c>
      <c r="F189" s="4">
        <v>8</v>
      </c>
      <c r="G189" s="4" t="str">
        <f t="shared" si="16"/>
        <v>W8</v>
      </c>
      <c r="H189" s="4" t="s">
        <v>96</v>
      </c>
      <c r="I189" s="4" t="s">
        <v>95</v>
      </c>
      <c r="J189" s="4" t="s">
        <v>95</v>
      </c>
      <c r="K189" s="4" t="s">
        <v>95</v>
      </c>
      <c r="L189" t="str">
        <f t="shared" si="14"/>
        <v>NAW8</v>
      </c>
      <c r="M189" s="4" t="str">
        <f t="shared" si="17"/>
        <v>WEDNESDAY</v>
      </c>
      <c r="N189" s="4" t="str">
        <f t="shared" si="18"/>
        <v>04:00-05:00</v>
      </c>
      <c r="O189" t="str">
        <f t="shared" si="19"/>
        <v>LEISURE</v>
      </c>
      <c r="P189" t="str">
        <f t="shared" si="20"/>
        <v>NA</v>
      </c>
    </row>
    <row r="190" spans="1:16" x14ac:dyDescent="0.3">
      <c r="A190" s="4">
        <v>4</v>
      </c>
      <c r="B190" s="4" t="s">
        <v>157</v>
      </c>
      <c r="C190" s="4" t="s">
        <v>5</v>
      </c>
      <c r="D190" s="4" t="s">
        <v>29</v>
      </c>
      <c r="E190" s="4" t="str">
        <f t="shared" si="15"/>
        <v>W</v>
      </c>
      <c r="F190" s="4">
        <v>9</v>
      </c>
      <c r="G190" s="4" t="str">
        <f t="shared" si="16"/>
        <v>W9</v>
      </c>
      <c r="H190" s="4" t="s">
        <v>96</v>
      </c>
      <c r="I190" s="4" t="s">
        <v>95</v>
      </c>
      <c r="J190" s="4" t="s">
        <v>95</v>
      </c>
      <c r="K190" s="4" t="s">
        <v>95</v>
      </c>
      <c r="L190" t="str">
        <f t="shared" si="14"/>
        <v>NAW9</v>
      </c>
      <c r="M190" s="4" t="str">
        <f t="shared" si="17"/>
        <v>WEDNESDAY</v>
      </c>
      <c r="N190" s="4" t="str">
        <f t="shared" si="18"/>
        <v>05:00-06:00</v>
      </c>
      <c r="O190" t="str">
        <f t="shared" si="19"/>
        <v>LEISURE</v>
      </c>
      <c r="P190" t="str">
        <f t="shared" si="20"/>
        <v>NA</v>
      </c>
    </row>
    <row r="191" spans="1:16" x14ac:dyDescent="0.3">
      <c r="A191" s="4">
        <v>4</v>
      </c>
      <c r="B191" s="4" t="s">
        <v>157</v>
      </c>
      <c r="C191" s="4" t="s">
        <v>6</v>
      </c>
      <c r="D191" s="4" t="s">
        <v>9</v>
      </c>
      <c r="E191" s="4" t="str">
        <f t="shared" si="15"/>
        <v>TH</v>
      </c>
      <c r="F191" s="4">
        <v>1</v>
      </c>
      <c r="G191" s="4" t="str">
        <f t="shared" si="16"/>
        <v>TH1</v>
      </c>
      <c r="H191" s="4" t="s">
        <v>102</v>
      </c>
      <c r="I191" s="23" t="s">
        <v>127</v>
      </c>
      <c r="J191" s="4" t="s">
        <v>126</v>
      </c>
      <c r="K191" s="4" t="s">
        <v>202</v>
      </c>
      <c r="L191" t="str">
        <f t="shared" si="14"/>
        <v>KRTH1</v>
      </c>
      <c r="M191" s="4" t="str">
        <f t="shared" si="17"/>
        <v>THURSDAY</v>
      </c>
      <c r="N191" s="4" t="str">
        <f t="shared" si="18"/>
        <v>09:00-10:00</v>
      </c>
      <c r="O191" t="str">
        <f t="shared" si="19"/>
        <v>GE452</v>
      </c>
      <c r="P191" t="str">
        <f t="shared" si="20"/>
        <v>Dr. K. Ramulu</v>
      </c>
    </row>
    <row r="192" spans="1:16" x14ac:dyDescent="0.3">
      <c r="A192" s="4">
        <v>4</v>
      </c>
      <c r="B192" s="4" t="s">
        <v>157</v>
      </c>
      <c r="C192" s="4" t="s">
        <v>6</v>
      </c>
      <c r="D192" s="4" t="s">
        <v>13</v>
      </c>
      <c r="E192" s="4" t="str">
        <f t="shared" si="15"/>
        <v>TH</v>
      </c>
      <c r="F192" s="4">
        <v>2</v>
      </c>
      <c r="G192" s="4" t="str">
        <f t="shared" si="16"/>
        <v>TH2</v>
      </c>
      <c r="H192" s="4" t="s">
        <v>102</v>
      </c>
      <c r="I192" s="23" t="s">
        <v>127</v>
      </c>
      <c r="J192" s="4" t="s">
        <v>126</v>
      </c>
      <c r="K192" s="4" t="s">
        <v>202</v>
      </c>
      <c r="L192" t="str">
        <f t="shared" si="14"/>
        <v>KRTH2</v>
      </c>
      <c r="M192" s="4" t="str">
        <f t="shared" si="17"/>
        <v>THURSDAY</v>
      </c>
      <c r="N192" s="4" t="str">
        <f t="shared" si="18"/>
        <v>10:00-11:00</v>
      </c>
      <c r="O192" t="str">
        <f t="shared" si="19"/>
        <v>GE452</v>
      </c>
      <c r="P192" t="str">
        <f t="shared" si="20"/>
        <v>Dr. K. Ramulu</v>
      </c>
    </row>
    <row r="193" spans="1:16" x14ac:dyDescent="0.3">
      <c r="A193" s="4">
        <v>4</v>
      </c>
      <c r="B193" s="4" t="s">
        <v>157</v>
      </c>
      <c r="C193" s="4" t="s">
        <v>6</v>
      </c>
      <c r="D193" s="4" t="s">
        <v>15</v>
      </c>
      <c r="E193" s="4" t="str">
        <f t="shared" si="15"/>
        <v>TH</v>
      </c>
      <c r="F193" s="4">
        <v>3</v>
      </c>
      <c r="G193" s="4" t="str">
        <f t="shared" si="16"/>
        <v>TH3</v>
      </c>
      <c r="H193" s="4" t="s">
        <v>108</v>
      </c>
      <c r="I193" s="23" t="s">
        <v>124</v>
      </c>
      <c r="J193" s="24" t="s">
        <v>67</v>
      </c>
      <c r="K193" s="4" t="s">
        <v>208</v>
      </c>
      <c r="L193" t="str">
        <f t="shared" si="14"/>
        <v>RPTH3</v>
      </c>
      <c r="M193" s="4" t="str">
        <f t="shared" si="17"/>
        <v>THURSDAY</v>
      </c>
      <c r="N193" s="4" t="str">
        <f t="shared" si="18"/>
        <v>11:00-12:00</v>
      </c>
      <c r="O193" t="str">
        <f t="shared" si="19"/>
        <v>GE451</v>
      </c>
      <c r="P193" t="str">
        <f t="shared" si="20"/>
        <v xml:space="preserve">Dr. R. Prasanth Kumar </v>
      </c>
    </row>
    <row r="194" spans="1:16" x14ac:dyDescent="0.3">
      <c r="A194" s="4">
        <v>4</v>
      </c>
      <c r="B194" s="4" t="s">
        <v>157</v>
      </c>
      <c r="C194" s="4" t="s">
        <v>6</v>
      </c>
      <c r="D194" s="4" t="s">
        <v>19</v>
      </c>
      <c r="E194" s="4" t="str">
        <f t="shared" si="15"/>
        <v>TH</v>
      </c>
      <c r="F194" s="4">
        <v>4</v>
      </c>
      <c r="G194" s="4" t="str">
        <f t="shared" si="16"/>
        <v>TH4</v>
      </c>
      <c r="H194" s="4" t="s">
        <v>108</v>
      </c>
      <c r="I194" s="23" t="s">
        <v>124</v>
      </c>
      <c r="J194" s="24" t="s">
        <v>67</v>
      </c>
      <c r="K194" s="4" t="s">
        <v>208</v>
      </c>
      <c r="L194" t="str">
        <f t="shared" ref="L194:L257" si="21">_xlfn.CONCAT(K194,G194)</f>
        <v>RPTH4</v>
      </c>
      <c r="M194" s="4" t="str">
        <f t="shared" si="17"/>
        <v>THURSDAY</v>
      </c>
      <c r="N194" s="4" t="str">
        <f t="shared" si="18"/>
        <v>12:00-01:00</v>
      </c>
      <c r="O194" t="str">
        <f t="shared" si="19"/>
        <v>GE451</v>
      </c>
      <c r="P194" t="str">
        <f t="shared" si="20"/>
        <v xml:space="preserve">Dr. R. Prasanth Kumar </v>
      </c>
    </row>
    <row r="195" spans="1:16" x14ac:dyDescent="0.3">
      <c r="A195" s="4">
        <v>4</v>
      </c>
      <c r="B195" s="4" t="s">
        <v>157</v>
      </c>
      <c r="C195" s="4" t="s">
        <v>6</v>
      </c>
      <c r="D195" s="4" t="s">
        <v>152</v>
      </c>
      <c r="E195" s="4" t="str">
        <f t="shared" ref="E195:E258" si="22">IF(C195="MONDAY","M",IF(C195="TUESDAY","T",IF(C195="WEDNESDAY","W",IF(C195="THURSDAY","TH",IF(C195="FRIDAY","F",IF(C195="SATURDAY","S","NA"))))))</f>
        <v>TH</v>
      </c>
      <c r="F195" s="4">
        <v>5</v>
      </c>
      <c r="G195" s="4" t="str">
        <f t="shared" ref="G195:G258" si="23">_xlfn.CONCAT(E195,F195)</f>
        <v>TH5</v>
      </c>
      <c r="H195" s="4" t="s">
        <v>94</v>
      </c>
      <c r="I195" s="4" t="s">
        <v>95</v>
      </c>
      <c r="J195" s="4" t="s">
        <v>95</v>
      </c>
      <c r="K195" s="4" t="s">
        <v>95</v>
      </c>
      <c r="L195" t="str">
        <f t="shared" si="21"/>
        <v>NATH5</v>
      </c>
      <c r="M195" s="4" t="str">
        <f t="shared" ref="M195:M258" si="24">C195</f>
        <v>THURSDAY</v>
      </c>
      <c r="N195" s="4" t="str">
        <f t="shared" ref="N195:N258" si="25">D195</f>
        <v>01:00-02:00</v>
      </c>
      <c r="O195" t="str">
        <f t="shared" ref="O195:O258" si="26">H195</f>
        <v>LUNCH</v>
      </c>
      <c r="P195" t="str">
        <f t="shared" ref="P195:P258" si="27">J195</f>
        <v>NA</v>
      </c>
    </row>
    <row r="196" spans="1:16" x14ac:dyDescent="0.3">
      <c r="A196" s="4">
        <v>4</v>
      </c>
      <c r="B196" s="4" t="s">
        <v>157</v>
      </c>
      <c r="C196" s="4" t="s">
        <v>6</v>
      </c>
      <c r="D196" s="4" t="s">
        <v>22</v>
      </c>
      <c r="E196" s="4" t="str">
        <f t="shared" si="22"/>
        <v>TH</v>
      </c>
      <c r="F196" s="4">
        <v>6</v>
      </c>
      <c r="G196" s="4" t="str">
        <f t="shared" si="23"/>
        <v>TH6</v>
      </c>
      <c r="H196" s="4" t="s">
        <v>102</v>
      </c>
      <c r="I196" s="23" t="s">
        <v>127</v>
      </c>
      <c r="J196" s="4" t="s">
        <v>126</v>
      </c>
      <c r="K196" s="4" t="s">
        <v>202</v>
      </c>
      <c r="L196" t="str">
        <f t="shared" si="21"/>
        <v>KRTH6</v>
      </c>
      <c r="M196" s="4" t="str">
        <f t="shared" si="24"/>
        <v>THURSDAY</v>
      </c>
      <c r="N196" s="4" t="str">
        <f t="shared" si="25"/>
        <v>02:00-03:00</v>
      </c>
      <c r="O196" t="str">
        <f t="shared" si="26"/>
        <v>GE452</v>
      </c>
      <c r="P196" t="str">
        <f t="shared" si="27"/>
        <v>Dr. K. Ramulu</v>
      </c>
    </row>
    <row r="197" spans="1:16" x14ac:dyDescent="0.3">
      <c r="A197" s="4">
        <v>4</v>
      </c>
      <c r="B197" s="4" t="s">
        <v>157</v>
      </c>
      <c r="C197" s="4" t="s">
        <v>6</v>
      </c>
      <c r="D197" s="4" t="s">
        <v>25</v>
      </c>
      <c r="E197" s="4" t="str">
        <f t="shared" si="22"/>
        <v>TH</v>
      </c>
      <c r="F197" s="4">
        <v>7</v>
      </c>
      <c r="G197" s="4" t="str">
        <f t="shared" si="23"/>
        <v>TH7</v>
      </c>
      <c r="H197" s="4" t="s">
        <v>108</v>
      </c>
      <c r="I197" s="23" t="s">
        <v>124</v>
      </c>
      <c r="J197" s="24" t="s">
        <v>67</v>
      </c>
      <c r="K197" s="4" t="s">
        <v>202</v>
      </c>
      <c r="L197" t="str">
        <f t="shared" si="21"/>
        <v>KRTH7</v>
      </c>
      <c r="M197" s="4" t="str">
        <f t="shared" si="24"/>
        <v>THURSDAY</v>
      </c>
      <c r="N197" s="4" t="str">
        <f t="shared" si="25"/>
        <v>03:00-04:00</v>
      </c>
      <c r="O197" t="str">
        <f t="shared" si="26"/>
        <v>GE451</v>
      </c>
      <c r="P197" t="str">
        <f t="shared" si="27"/>
        <v xml:space="preserve">Dr. R. Prasanth Kumar </v>
      </c>
    </row>
    <row r="198" spans="1:16" x14ac:dyDescent="0.3">
      <c r="A198" s="4">
        <v>4</v>
      </c>
      <c r="B198" s="4" t="s">
        <v>157</v>
      </c>
      <c r="C198" s="4" t="s">
        <v>6</v>
      </c>
      <c r="D198" s="4" t="s">
        <v>26</v>
      </c>
      <c r="E198" s="4" t="str">
        <f t="shared" si="22"/>
        <v>TH</v>
      </c>
      <c r="F198" s="4">
        <v>8</v>
      </c>
      <c r="G198" s="4" t="str">
        <f t="shared" si="23"/>
        <v>TH8</v>
      </c>
      <c r="H198" s="4" t="s">
        <v>96</v>
      </c>
      <c r="I198" s="4" t="s">
        <v>95</v>
      </c>
      <c r="J198" s="4" t="s">
        <v>95</v>
      </c>
      <c r="K198" s="4" t="s">
        <v>95</v>
      </c>
      <c r="L198" t="str">
        <f t="shared" si="21"/>
        <v>NATH8</v>
      </c>
      <c r="M198" s="4" t="str">
        <f t="shared" si="24"/>
        <v>THURSDAY</v>
      </c>
      <c r="N198" s="4" t="str">
        <f t="shared" si="25"/>
        <v>04:00-05:00</v>
      </c>
      <c r="O198" t="str">
        <f t="shared" si="26"/>
        <v>LEISURE</v>
      </c>
      <c r="P198" t="str">
        <f t="shared" si="27"/>
        <v>NA</v>
      </c>
    </row>
    <row r="199" spans="1:16" x14ac:dyDescent="0.3">
      <c r="A199" s="4">
        <v>4</v>
      </c>
      <c r="B199" s="4" t="s">
        <v>157</v>
      </c>
      <c r="C199" s="4" t="s">
        <v>6</v>
      </c>
      <c r="D199" s="4" t="s">
        <v>29</v>
      </c>
      <c r="E199" s="4" t="str">
        <f t="shared" si="22"/>
        <v>TH</v>
      </c>
      <c r="F199" s="4">
        <v>9</v>
      </c>
      <c r="G199" s="4" t="str">
        <f t="shared" si="23"/>
        <v>TH9</v>
      </c>
      <c r="H199" s="4" t="s">
        <v>96</v>
      </c>
      <c r="I199" s="4" t="s">
        <v>95</v>
      </c>
      <c r="J199" s="4" t="s">
        <v>95</v>
      </c>
      <c r="K199" s="4" t="s">
        <v>95</v>
      </c>
      <c r="L199" t="str">
        <f t="shared" si="21"/>
        <v>NATH9</v>
      </c>
      <c r="M199" s="4" t="str">
        <f t="shared" si="24"/>
        <v>THURSDAY</v>
      </c>
      <c r="N199" s="4" t="str">
        <f t="shared" si="25"/>
        <v>05:00-06:00</v>
      </c>
      <c r="O199" t="str">
        <f t="shared" si="26"/>
        <v>LEISURE</v>
      </c>
      <c r="P199" t="str">
        <f t="shared" si="27"/>
        <v>NA</v>
      </c>
    </row>
    <row r="200" spans="1:16" x14ac:dyDescent="0.3">
      <c r="A200" s="4">
        <v>4</v>
      </c>
      <c r="B200" s="4" t="s">
        <v>157</v>
      </c>
      <c r="C200" s="4" t="s">
        <v>7</v>
      </c>
      <c r="D200" s="4" t="s">
        <v>9</v>
      </c>
      <c r="E200" s="4" t="str">
        <f t="shared" si="22"/>
        <v>F</v>
      </c>
      <c r="F200" s="4">
        <v>1</v>
      </c>
      <c r="G200" s="4" t="str">
        <f t="shared" si="23"/>
        <v>F1</v>
      </c>
      <c r="H200" s="4" t="s">
        <v>103</v>
      </c>
      <c r="I200" s="23" t="s">
        <v>131</v>
      </c>
      <c r="J200" s="24" t="s">
        <v>76</v>
      </c>
      <c r="K200" s="4" t="s">
        <v>210</v>
      </c>
      <c r="L200" t="str">
        <f t="shared" si="21"/>
        <v>GVF1</v>
      </c>
      <c r="M200" s="4" t="str">
        <f t="shared" si="24"/>
        <v>FRIDAY</v>
      </c>
      <c r="N200" s="4" t="str">
        <f t="shared" si="25"/>
        <v>09:00-10:00</v>
      </c>
      <c r="O200" t="str">
        <f t="shared" si="26"/>
        <v>GE462</v>
      </c>
      <c r="P200" t="str">
        <f t="shared" si="27"/>
        <v>Prof. G.V.R.K. Acharyulu</v>
      </c>
    </row>
    <row r="201" spans="1:16" x14ac:dyDescent="0.3">
      <c r="A201" s="4">
        <v>4</v>
      </c>
      <c r="B201" s="4" t="s">
        <v>157</v>
      </c>
      <c r="C201" s="4" t="s">
        <v>7</v>
      </c>
      <c r="D201" s="4" t="s">
        <v>13</v>
      </c>
      <c r="E201" s="4" t="str">
        <f t="shared" si="22"/>
        <v>F</v>
      </c>
      <c r="F201" s="4">
        <v>2</v>
      </c>
      <c r="G201" s="4" t="str">
        <f t="shared" si="23"/>
        <v>F2</v>
      </c>
      <c r="H201" s="4" t="s">
        <v>103</v>
      </c>
      <c r="I201" s="23" t="s">
        <v>131</v>
      </c>
      <c r="J201" s="24" t="s">
        <v>76</v>
      </c>
      <c r="K201" s="4" t="s">
        <v>210</v>
      </c>
      <c r="L201" t="str">
        <f t="shared" si="21"/>
        <v>GVF2</v>
      </c>
      <c r="M201" s="4" t="str">
        <f t="shared" si="24"/>
        <v>FRIDAY</v>
      </c>
      <c r="N201" s="4" t="str">
        <f t="shared" si="25"/>
        <v>10:00-11:00</v>
      </c>
      <c r="O201" t="str">
        <f t="shared" si="26"/>
        <v>GE462</v>
      </c>
      <c r="P201" t="str">
        <f t="shared" si="27"/>
        <v>Prof. G.V.R.K. Acharyulu</v>
      </c>
    </row>
    <row r="202" spans="1:16" x14ac:dyDescent="0.3">
      <c r="A202" s="4">
        <v>4</v>
      </c>
      <c r="B202" s="4" t="s">
        <v>157</v>
      </c>
      <c r="C202" s="4" t="s">
        <v>7</v>
      </c>
      <c r="D202" s="4" t="s">
        <v>15</v>
      </c>
      <c r="E202" s="4" t="str">
        <f t="shared" si="22"/>
        <v>F</v>
      </c>
      <c r="F202" s="4">
        <v>3</v>
      </c>
      <c r="G202" s="4" t="str">
        <f t="shared" si="23"/>
        <v>F3</v>
      </c>
      <c r="H202" s="4" t="s">
        <v>103</v>
      </c>
      <c r="I202" s="23" t="s">
        <v>131</v>
      </c>
      <c r="J202" s="24" t="s">
        <v>76</v>
      </c>
      <c r="K202" s="4" t="s">
        <v>210</v>
      </c>
      <c r="L202" t="str">
        <f t="shared" si="21"/>
        <v>GVF3</v>
      </c>
      <c r="M202" s="4" t="str">
        <f t="shared" si="24"/>
        <v>FRIDAY</v>
      </c>
      <c r="N202" s="4" t="str">
        <f t="shared" si="25"/>
        <v>11:00-12:00</v>
      </c>
      <c r="O202" t="str">
        <f t="shared" si="26"/>
        <v>GE462</v>
      </c>
      <c r="P202" t="str">
        <f t="shared" si="27"/>
        <v>Prof. G.V.R.K. Acharyulu</v>
      </c>
    </row>
    <row r="203" spans="1:16" x14ac:dyDescent="0.3">
      <c r="A203" s="4">
        <v>4</v>
      </c>
      <c r="B203" s="4" t="s">
        <v>157</v>
      </c>
      <c r="C203" s="4" t="s">
        <v>7</v>
      </c>
      <c r="D203" s="4" t="s">
        <v>19</v>
      </c>
      <c r="E203" s="4" t="str">
        <f t="shared" si="22"/>
        <v>F</v>
      </c>
      <c r="F203" s="4">
        <v>4</v>
      </c>
      <c r="G203" s="4" t="str">
        <f t="shared" si="23"/>
        <v>F4</v>
      </c>
      <c r="H203" s="4" t="s">
        <v>96</v>
      </c>
      <c r="I203" s="4" t="s">
        <v>95</v>
      </c>
      <c r="J203" s="4" t="s">
        <v>95</v>
      </c>
      <c r="K203" s="4" t="s">
        <v>95</v>
      </c>
      <c r="L203" t="str">
        <f t="shared" si="21"/>
        <v>NAF4</v>
      </c>
      <c r="M203" s="4" t="str">
        <f t="shared" si="24"/>
        <v>FRIDAY</v>
      </c>
      <c r="N203" s="4" t="str">
        <f t="shared" si="25"/>
        <v>12:00-01:00</v>
      </c>
      <c r="O203" t="str">
        <f t="shared" si="26"/>
        <v>LEISURE</v>
      </c>
      <c r="P203" t="str">
        <f t="shared" si="27"/>
        <v>NA</v>
      </c>
    </row>
    <row r="204" spans="1:16" x14ac:dyDescent="0.3">
      <c r="A204" s="4">
        <v>4</v>
      </c>
      <c r="B204" s="4" t="s">
        <v>157</v>
      </c>
      <c r="C204" s="4" t="s">
        <v>7</v>
      </c>
      <c r="D204" s="4" t="s">
        <v>152</v>
      </c>
      <c r="E204" s="4" t="str">
        <f t="shared" si="22"/>
        <v>F</v>
      </c>
      <c r="F204" s="4">
        <v>5</v>
      </c>
      <c r="G204" s="4" t="str">
        <f t="shared" si="23"/>
        <v>F5</v>
      </c>
      <c r="H204" s="4" t="s">
        <v>94</v>
      </c>
      <c r="I204" s="4" t="s">
        <v>95</v>
      </c>
      <c r="J204" s="4" t="s">
        <v>95</v>
      </c>
      <c r="K204" s="4" t="s">
        <v>95</v>
      </c>
      <c r="L204" t="str">
        <f t="shared" si="21"/>
        <v>NAF5</v>
      </c>
      <c r="M204" s="4" t="str">
        <f t="shared" si="24"/>
        <v>FRIDAY</v>
      </c>
      <c r="N204" s="4" t="str">
        <f t="shared" si="25"/>
        <v>01:00-02:00</v>
      </c>
      <c r="O204" t="str">
        <f t="shared" si="26"/>
        <v>LUNCH</v>
      </c>
      <c r="P204" t="str">
        <f t="shared" si="27"/>
        <v>NA</v>
      </c>
    </row>
    <row r="205" spans="1:16" x14ac:dyDescent="0.3">
      <c r="A205" s="4">
        <v>4</v>
      </c>
      <c r="B205" s="4" t="s">
        <v>157</v>
      </c>
      <c r="C205" s="4" t="s">
        <v>7</v>
      </c>
      <c r="D205" s="4" t="s">
        <v>22</v>
      </c>
      <c r="E205" s="4" t="str">
        <f t="shared" si="22"/>
        <v>F</v>
      </c>
      <c r="F205" s="4">
        <v>6</v>
      </c>
      <c r="G205" s="4" t="str">
        <f t="shared" si="23"/>
        <v>F6</v>
      </c>
      <c r="H205" s="4" t="s">
        <v>113</v>
      </c>
      <c r="I205" s="23" t="s">
        <v>89</v>
      </c>
      <c r="J205" s="23" t="s">
        <v>44</v>
      </c>
      <c r="K205" s="4" t="s">
        <v>95</v>
      </c>
      <c r="L205" t="str">
        <f t="shared" si="21"/>
        <v>NAF6</v>
      </c>
      <c r="M205" s="4" t="str">
        <f t="shared" si="24"/>
        <v>FRIDAY</v>
      </c>
      <c r="N205" s="4" t="str">
        <f t="shared" si="25"/>
        <v>02:00-03:00</v>
      </c>
      <c r="O205" t="str">
        <f t="shared" si="26"/>
        <v>GE461</v>
      </c>
      <c r="P205" t="str">
        <f t="shared" si="27"/>
        <v>TBD</v>
      </c>
    </row>
    <row r="206" spans="1:16" x14ac:dyDescent="0.3">
      <c r="A206" s="4">
        <v>4</v>
      </c>
      <c r="B206" s="4" t="s">
        <v>157</v>
      </c>
      <c r="C206" s="4" t="s">
        <v>7</v>
      </c>
      <c r="D206" s="4" t="s">
        <v>25</v>
      </c>
      <c r="E206" s="4" t="str">
        <f t="shared" si="22"/>
        <v>F</v>
      </c>
      <c r="F206" s="4">
        <v>7</v>
      </c>
      <c r="G206" s="4" t="str">
        <f t="shared" si="23"/>
        <v>F7</v>
      </c>
      <c r="H206" s="4" t="s">
        <v>113</v>
      </c>
      <c r="I206" s="23" t="s">
        <v>89</v>
      </c>
      <c r="J206" s="23" t="s">
        <v>44</v>
      </c>
      <c r="K206" s="4" t="s">
        <v>95</v>
      </c>
      <c r="L206" t="str">
        <f t="shared" si="21"/>
        <v>NAF7</v>
      </c>
      <c r="M206" s="4" t="str">
        <f t="shared" si="24"/>
        <v>FRIDAY</v>
      </c>
      <c r="N206" s="4" t="str">
        <f t="shared" si="25"/>
        <v>03:00-04:00</v>
      </c>
      <c r="O206" t="str">
        <f t="shared" si="26"/>
        <v>GE461</v>
      </c>
      <c r="P206" t="str">
        <f t="shared" si="27"/>
        <v>TBD</v>
      </c>
    </row>
    <row r="207" spans="1:16" x14ac:dyDescent="0.3">
      <c r="A207" s="4">
        <v>4</v>
      </c>
      <c r="B207" s="4" t="s">
        <v>157</v>
      </c>
      <c r="C207" s="4" t="s">
        <v>7</v>
      </c>
      <c r="D207" s="4" t="s">
        <v>26</v>
      </c>
      <c r="E207" s="4" t="str">
        <f t="shared" si="22"/>
        <v>F</v>
      </c>
      <c r="F207" s="4">
        <v>8</v>
      </c>
      <c r="G207" s="4" t="str">
        <f t="shared" si="23"/>
        <v>F8</v>
      </c>
      <c r="H207" s="4" t="s">
        <v>113</v>
      </c>
      <c r="I207" s="23" t="s">
        <v>89</v>
      </c>
      <c r="J207" s="23" t="s">
        <v>44</v>
      </c>
      <c r="K207" s="4" t="s">
        <v>95</v>
      </c>
      <c r="L207" t="str">
        <f t="shared" si="21"/>
        <v>NAF8</v>
      </c>
      <c r="M207" s="4" t="str">
        <f t="shared" si="24"/>
        <v>FRIDAY</v>
      </c>
      <c r="N207" s="4" t="str">
        <f t="shared" si="25"/>
        <v>04:00-05:00</v>
      </c>
      <c r="O207" t="str">
        <f t="shared" si="26"/>
        <v>GE461</v>
      </c>
      <c r="P207" t="str">
        <f t="shared" si="27"/>
        <v>TBD</v>
      </c>
    </row>
    <row r="208" spans="1:16" x14ac:dyDescent="0.3">
      <c r="A208" s="4">
        <v>4</v>
      </c>
      <c r="B208" s="4" t="s">
        <v>157</v>
      </c>
      <c r="C208" s="4" t="s">
        <v>7</v>
      </c>
      <c r="D208" s="4" t="s">
        <v>29</v>
      </c>
      <c r="E208" s="4" t="str">
        <f t="shared" si="22"/>
        <v>F</v>
      </c>
      <c r="F208" s="4">
        <v>9</v>
      </c>
      <c r="G208" s="4" t="str">
        <f t="shared" si="23"/>
        <v>F9</v>
      </c>
      <c r="H208" s="4" t="s">
        <v>96</v>
      </c>
      <c r="I208" s="4" t="s">
        <v>95</v>
      </c>
      <c r="J208" s="4" t="s">
        <v>95</v>
      </c>
      <c r="K208" s="4" t="s">
        <v>95</v>
      </c>
      <c r="L208" t="str">
        <f t="shared" si="21"/>
        <v>NAF9</v>
      </c>
      <c r="M208" s="4" t="str">
        <f t="shared" si="24"/>
        <v>FRIDAY</v>
      </c>
      <c r="N208" s="4" t="str">
        <f t="shared" si="25"/>
        <v>05:00-06:00</v>
      </c>
      <c r="O208" t="str">
        <f t="shared" si="26"/>
        <v>LEISURE</v>
      </c>
      <c r="P208" t="str">
        <f t="shared" si="27"/>
        <v>NA</v>
      </c>
    </row>
    <row r="209" spans="1:16" x14ac:dyDescent="0.3">
      <c r="A209" s="4">
        <v>4</v>
      </c>
      <c r="B209" s="4" t="s">
        <v>157</v>
      </c>
      <c r="C209" s="4" t="s">
        <v>8</v>
      </c>
      <c r="D209" s="4" t="s">
        <v>9</v>
      </c>
      <c r="E209" s="4" t="str">
        <f t="shared" si="22"/>
        <v>S</v>
      </c>
      <c r="F209" s="4">
        <v>1</v>
      </c>
      <c r="G209" s="4" t="str">
        <f t="shared" si="23"/>
        <v>S1</v>
      </c>
      <c r="H209" s="4" t="s">
        <v>96</v>
      </c>
      <c r="I209" s="4" t="s">
        <v>95</v>
      </c>
      <c r="J209" s="4" t="s">
        <v>95</v>
      </c>
      <c r="K209" s="4" t="s">
        <v>95</v>
      </c>
      <c r="L209" t="str">
        <f t="shared" si="21"/>
        <v>NAS1</v>
      </c>
      <c r="M209" s="4" t="str">
        <f t="shared" si="24"/>
        <v>SATURDAY</v>
      </c>
      <c r="N209" s="4" t="str">
        <f t="shared" si="25"/>
        <v>09:00-10:00</v>
      </c>
      <c r="O209" t="str">
        <f t="shared" si="26"/>
        <v>LEISURE</v>
      </c>
      <c r="P209" t="str">
        <f t="shared" si="27"/>
        <v>NA</v>
      </c>
    </row>
    <row r="210" spans="1:16" x14ac:dyDescent="0.3">
      <c r="A210" s="4">
        <v>4</v>
      </c>
      <c r="B210" s="4" t="s">
        <v>157</v>
      </c>
      <c r="C210" s="4" t="s">
        <v>8</v>
      </c>
      <c r="D210" s="4" t="s">
        <v>13</v>
      </c>
      <c r="E210" s="4" t="str">
        <f t="shared" si="22"/>
        <v>S</v>
      </c>
      <c r="F210" s="4">
        <v>2</v>
      </c>
      <c r="G210" s="4" t="str">
        <f t="shared" si="23"/>
        <v>S2</v>
      </c>
      <c r="H210" s="4" t="s">
        <v>96</v>
      </c>
      <c r="I210" s="4" t="s">
        <v>95</v>
      </c>
      <c r="J210" s="4" t="s">
        <v>95</v>
      </c>
      <c r="K210" s="4" t="s">
        <v>95</v>
      </c>
      <c r="L210" t="str">
        <f t="shared" si="21"/>
        <v>NAS2</v>
      </c>
      <c r="M210" s="4" t="str">
        <f t="shared" si="24"/>
        <v>SATURDAY</v>
      </c>
      <c r="N210" s="4" t="str">
        <f t="shared" si="25"/>
        <v>10:00-11:00</v>
      </c>
      <c r="O210" t="str">
        <f t="shared" si="26"/>
        <v>LEISURE</v>
      </c>
      <c r="P210" t="str">
        <f t="shared" si="27"/>
        <v>NA</v>
      </c>
    </row>
    <row r="211" spans="1:16" x14ac:dyDescent="0.3">
      <c r="A211" s="4">
        <v>4</v>
      </c>
      <c r="B211" s="4" t="s">
        <v>157</v>
      </c>
      <c r="C211" s="4" t="s">
        <v>8</v>
      </c>
      <c r="D211" s="4" t="s">
        <v>15</v>
      </c>
      <c r="E211" s="4" t="str">
        <f t="shared" si="22"/>
        <v>S</v>
      </c>
      <c r="F211" s="4">
        <v>3</v>
      </c>
      <c r="G211" s="4" t="str">
        <f t="shared" si="23"/>
        <v>S3</v>
      </c>
      <c r="H211" s="4" t="s">
        <v>96</v>
      </c>
      <c r="I211" s="4" t="s">
        <v>95</v>
      </c>
      <c r="J211" s="4" t="s">
        <v>95</v>
      </c>
      <c r="K211" s="4" t="s">
        <v>95</v>
      </c>
      <c r="L211" t="str">
        <f t="shared" si="21"/>
        <v>NAS3</v>
      </c>
      <c r="M211" s="4" t="str">
        <f t="shared" si="24"/>
        <v>SATURDAY</v>
      </c>
      <c r="N211" s="4" t="str">
        <f t="shared" si="25"/>
        <v>11:00-12:00</v>
      </c>
      <c r="O211" t="str">
        <f t="shared" si="26"/>
        <v>LEISURE</v>
      </c>
      <c r="P211" t="str">
        <f t="shared" si="27"/>
        <v>NA</v>
      </c>
    </row>
    <row r="212" spans="1:16" x14ac:dyDescent="0.3">
      <c r="A212" s="4">
        <v>4</v>
      </c>
      <c r="B212" s="4" t="s">
        <v>157</v>
      </c>
      <c r="C212" s="4" t="s">
        <v>8</v>
      </c>
      <c r="D212" s="4" t="s">
        <v>19</v>
      </c>
      <c r="E212" s="4" t="str">
        <f t="shared" si="22"/>
        <v>S</v>
      </c>
      <c r="F212" s="4">
        <v>4</v>
      </c>
      <c r="G212" s="4" t="str">
        <f t="shared" si="23"/>
        <v>S4</v>
      </c>
      <c r="H212" s="4" t="s">
        <v>96</v>
      </c>
      <c r="I212" s="4" t="s">
        <v>95</v>
      </c>
      <c r="J212" s="4" t="s">
        <v>95</v>
      </c>
      <c r="K212" s="4" t="s">
        <v>95</v>
      </c>
      <c r="L212" t="str">
        <f t="shared" si="21"/>
        <v>NAS4</v>
      </c>
      <c r="M212" s="4" t="str">
        <f t="shared" si="24"/>
        <v>SATURDAY</v>
      </c>
      <c r="N212" s="4" t="str">
        <f t="shared" si="25"/>
        <v>12:00-01:00</v>
      </c>
      <c r="O212" t="str">
        <f t="shared" si="26"/>
        <v>LEISURE</v>
      </c>
      <c r="P212" t="str">
        <f t="shared" si="27"/>
        <v>NA</v>
      </c>
    </row>
    <row r="213" spans="1:16" x14ac:dyDescent="0.3">
      <c r="A213" s="4">
        <v>4</v>
      </c>
      <c r="B213" s="4" t="s">
        <v>157</v>
      </c>
      <c r="C213" s="4" t="s">
        <v>8</v>
      </c>
      <c r="D213" s="4" t="s">
        <v>152</v>
      </c>
      <c r="E213" s="4" t="str">
        <f t="shared" si="22"/>
        <v>S</v>
      </c>
      <c r="F213" s="4">
        <v>5</v>
      </c>
      <c r="G213" s="4" t="str">
        <f t="shared" si="23"/>
        <v>S5</v>
      </c>
      <c r="H213" s="4" t="s">
        <v>94</v>
      </c>
      <c r="I213" s="4" t="s">
        <v>95</v>
      </c>
      <c r="J213" s="4" t="s">
        <v>95</v>
      </c>
      <c r="K213" s="4" t="s">
        <v>95</v>
      </c>
      <c r="L213" t="str">
        <f t="shared" si="21"/>
        <v>NAS5</v>
      </c>
      <c r="M213" s="4" t="str">
        <f t="shared" si="24"/>
        <v>SATURDAY</v>
      </c>
      <c r="N213" s="4" t="str">
        <f t="shared" si="25"/>
        <v>01:00-02:00</v>
      </c>
      <c r="O213" t="str">
        <f t="shared" si="26"/>
        <v>LUNCH</v>
      </c>
      <c r="P213" t="str">
        <f t="shared" si="27"/>
        <v>NA</v>
      </c>
    </row>
    <row r="214" spans="1:16" x14ac:dyDescent="0.3">
      <c r="A214" s="4">
        <v>4</v>
      </c>
      <c r="B214" s="4" t="s">
        <v>157</v>
      </c>
      <c r="C214" s="4" t="s">
        <v>8</v>
      </c>
      <c r="D214" s="4" t="s">
        <v>22</v>
      </c>
      <c r="E214" s="4" t="str">
        <f t="shared" si="22"/>
        <v>S</v>
      </c>
      <c r="F214" s="4">
        <v>6</v>
      </c>
      <c r="G214" s="4" t="str">
        <f t="shared" si="23"/>
        <v>S6</v>
      </c>
      <c r="H214" s="4" t="s">
        <v>112</v>
      </c>
      <c r="I214" s="4" t="s">
        <v>83</v>
      </c>
      <c r="J214" s="24" t="s">
        <v>156</v>
      </c>
      <c r="K214" s="4" t="s">
        <v>197</v>
      </c>
      <c r="L214" t="str">
        <f t="shared" si="21"/>
        <v>DJS6</v>
      </c>
      <c r="M214" s="4" t="str">
        <f t="shared" si="24"/>
        <v>SATURDAY</v>
      </c>
      <c r="N214" s="4" t="str">
        <f t="shared" si="25"/>
        <v>02:00-03:00</v>
      </c>
      <c r="O214" t="str">
        <f t="shared" si="26"/>
        <v>GE472</v>
      </c>
      <c r="P214" t="str">
        <f t="shared" si="27"/>
        <v>Daniel Jadi</v>
      </c>
    </row>
    <row r="215" spans="1:16" x14ac:dyDescent="0.3">
      <c r="A215" s="4">
        <v>4</v>
      </c>
      <c r="B215" s="4" t="s">
        <v>157</v>
      </c>
      <c r="C215" s="4" t="s">
        <v>8</v>
      </c>
      <c r="D215" s="4" t="s">
        <v>25</v>
      </c>
      <c r="E215" s="4" t="str">
        <f t="shared" si="22"/>
        <v>S</v>
      </c>
      <c r="F215" s="4">
        <v>7</v>
      </c>
      <c r="G215" s="4" t="str">
        <f t="shared" si="23"/>
        <v>S7</v>
      </c>
      <c r="H215" s="4" t="s">
        <v>112</v>
      </c>
      <c r="I215" s="4" t="s">
        <v>83</v>
      </c>
      <c r="J215" s="24" t="s">
        <v>156</v>
      </c>
      <c r="K215" s="4" t="s">
        <v>197</v>
      </c>
      <c r="L215" t="str">
        <f t="shared" si="21"/>
        <v>DJS7</v>
      </c>
      <c r="M215" s="4" t="str">
        <f t="shared" si="24"/>
        <v>SATURDAY</v>
      </c>
      <c r="N215" s="4" t="str">
        <f t="shared" si="25"/>
        <v>03:00-04:00</v>
      </c>
      <c r="O215" t="str">
        <f t="shared" si="26"/>
        <v>GE472</v>
      </c>
      <c r="P215" t="str">
        <f t="shared" si="27"/>
        <v>Daniel Jadi</v>
      </c>
    </row>
    <row r="216" spans="1:16" x14ac:dyDescent="0.3">
      <c r="A216" s="4">
        <v>4</v>
      </c>
      <c r="B216" s="4" t="s">
        <v>157</v>
      </c>
      <c r="C216" s="4" t="s">
        <v>8</v>
      </c>
      <c r="D216" s="4" t="s">
        <v>26</v>
      </c>
      <c r="E216" s="4" t="str">
        <f t="shared" si="22"/>
        <v>S</v>
      </c>
      <c r="F216" s="4">
        <v>8</v>
      </c>
      <c r="G216" s="4" t="str">
        <f t="shared" si="23"/>
        <v>S8</v>
      </c>
      <c r="H216" s="4" t="s">
        <v>112</v>
      </c>
      <c r="I216" s="4" t="s">
        <v>83</v>
      </c>
      <c r="J216" s="24" t="s">
        <v>156</v>
      </c>
      <c r="K216" s="4" t="s">
        <v>197</v>
      </c>
      <c r="L216" t="str">
        <f t="shared" si="21"/>
        <v>DJS8</v>
      </c>
      <c r="M216" s="4" t="str">
        <f t="shared" si="24"/>
        <v>SATURDAY</v>
      </c>
      <c r="N216" s="4" t="str">
        <f t="shared" si="25"/>
        <v>04:00-05:00</v>
      </c>
      <c r="O216" t="str">
        <f t="shared" si="26"/>
        <v>GE472</v>
      </c>
      <c r="P216" t="str">
        <f t="shared" si="27"/>
        <v>Daniel Jadi</v>
      </c>
    </row>
    <row r="217" spans="1:16" x14ac:dyDescent="0.3">
      <c r="A217" s="4">
        <v>4</v>
      </c>
      <c r="B217" s="4" t="s">
        <v>157</v>
      </c>
      <c r="C217" s="4" t="s">
        <v>8</v>
      </c>
      <c r="D217" s="4" t="s">
        <v>29</v>
      </c>
      <c r="E217" s="4" t="str">
        <f t="shared" si="22"/>
        <v>S</v>
      </c>
      <c r="F217" s="4">
        <v>9</v>
      </c>
      <c r="G217" s="4" t="str">
        <f t="shared" si="23"/>
        <v>S9</v>
      </c>
      <c r="H217" s="4" t="s">
        <v>96</v>
      </c>
      <c r="I217" s="4" t="s">
        <v>95</v>
      </c>
      <c r="J217" s="4" t="s">
        <v>95</v>
      </c>
      <c r="K217" s="4" t="s">
        <v>95</v>
      </c>
      <c r="L217" t="str">
        <f t="shared" si="21"/>
        <v>NAS9</v>
      </c>
      <c r="M217" s="4" t="str">
        <f t="shared" si="24"/>
        <v>SATURDAY</v>
      </c>
      <c r="N217" s="4" t="str">
        <f t="shared" si="25"/>
        <v>05:00-06:00</v>
      </c>
      <c r="O217" t="str">
        <f t="shared" si="26"/>
        <v>LEISURE</v>
      </c>
      <c r="P217" t="str">
        <f t="shared" si="27"/>
        <v>NA</v>
      </c>
    </row>
    <row r="218" spans="1:16" x14ac:dyDescent="0.3">
      <c r="A218" s="4">
        <v>2</v>
      </c>
      <c r="B218" s="4" t="s">
        <v>159</v>
      </c>
      <c r="C218" s="4" t="s">
        <v>3</v>
      </c>
      <c r="D218" s="4" t="s">
        <v>9</v>
      </c>
      <c r="E218" s="4" t="str">
        <f t="shared" si="22"/>
        <v>M</v>
      </c>
      <c r="F218" s="4">
        <v>1</v>
      </c>
      <c r="G218" s="4" t="str">
        <f t="shared" si="23"/>
        <v>M1</v>
      </c>
      <c r="H218" s="4" t="s">
        <v>96</v>
      </c>
      <c r="I218" s="4" t="s">
        <v>95</v>
      </c>
      <c r="J218" s="4" t="s">
        <v>95</v>
      </c>
      <c r="K218" s="4" t="s">
        <v>95</v>
      </c>
      <c r="L218" t="str">
        <f t="shared" si="21"/>
        <v>NAM1</v>
      </c>
      <c r="M218" s="4" t="str">
        <f t="shared" si="24"/>
        <v>MONDAY</v>
      </c>
      <c r="N218" s="4" t="str">
        <f t="shared" si="25"/>
        <v>09:00-10:00</v>
      </c>
      <c r="O218" t="str">
        <f t="shared" si="26"/>
        <v>LEISURE</v>
      </c>
      <c r="P218" t="str">
        <f t="shared" si="27"/>
        <v>NA</v>
      </c>
    </row>
    <row r="219" spans="1:16" x14ac:dyDescent="0.3">
      <c r="A219" s="4">
        <v>2</v>
      </c>
      <c r="B219" s="4" t="s">
        <v>159</v>
      </c>
      <c r="C219" s="4" t="s">
        <v>3</v>
      </c>
      <c r="D219" s="4" t="s">
        <v>13</v>
      </c>
      <c r="E219" s="4" t="str">
        <f t="shared" si="22"/>
        <v>M</v>
      </c>
      <c r="F219" s="4">
        <v>2</v>
      </c>
      <c r="G219" s="4" t="str">
        <f t="shared" si="23"/>
        <v>M2</v>
      </c>
      <c r="H219" s="4" t="s">
        <v>11</v>
      </c>
      <c r="I219" t="s">
        <v>39</v>
      </c>
      <c r="J219" s="24" t="s">
        <v>73</v>
      </c>
      <c r="K219" s="4" t="s">
        <v>209</v>
      </c>
      <c r="L219" t="str">
        <f t="shared" si="21"/>
        <v>DVM2</v>
      </c>
      <c r="M219" s="4" t="str">
        <f t="shared" si="24"/>
        <v>MONDAY</v>
      </c>
      <c r="N219" s="4" t="str">
        <f t="shared" si="25"/>
        <v>10:00-11:00</v>
      </c>
      <c r="O219" t="str">
        <f t="shared" si="26"/>
        <v>HC204</v>
      </c>
      <c r="P219" t="str">
        <f t="shared" si="27"/>
        <v>Dr.D.V Srinivas Kumar</v>
      </c>
    </row>
    <row r="220" spans="1:16" x14ac:dyDescent="0.3">
      <c r="A220" s="4">
        <v>2</v>
      </c>
      <c r="B220" s="4" t="s">
        <v>159</v>
      </c>
      <c r="C220" s="4" t="s">
        <v>3</v>
      </c>
      <c r="D220" s="4" t="s">
        <v>15</v>
      </c>
      <c r="E220" s="4" t="str">
        <f t="shared" si="22"/>
        <v>M</v>
      </c>
      <c r="F220" s="4">
        <v>3</v>
      </c>
      <c r="G220" s="4" t="str">
        <f t="shared" si="23"/>
        <v>M3</v>
      </c>
      <c r="H220" s="4" t="s">
        <v>11</v>
      </c>
      <c r="I220" t="s">
        <v>39</v>
      </c>
      <c r="J220" s="24" t="s">
        <v>73</v>
      </c>
      <c r="K220" s="4" t="s">
        <v>209</v>
      </c>
      <c r="L220" t="str">
        <f t="shared" si="21"/>
        <v>DVM3</v>
      </c>
      <c r="M220" s="4" t="str">
        <f t="shared" si="24"/>
        <v>MONDAY</v>
      </c>
      <c r="N220" s="4" t="str">
        <f t="shared" si="25"/>
        <v>11:00-12:00</v>
      </c>
      <c r="O220" t="str">
        <f t="shared" si="26"/>
        <v>HC204</v>
      </c>
      <c r="P220" t="str">
        <f t="shared" si="27"/>
        <v>Dr.D.V Srinivas Kumar</v>
      </c>
    </row>
    <row r="221" spans="1:16" x14ac:dyDescent="0.3">
      <c r="A221" s="4">
        <v>2</v>
      </c>
      <c r="B221" s="4" t="s">
        <v>159</v>
      </c>
      <c r="C221" s="4" t="s">
        <v>3</v>
      </c>
      <c r="D221" s="4" t="s">
        <v>19</v>
      </c>
      <c r="E221" s="4" t="str">
        <f t="shared" si="22"/>
        <v>M</v>
      </c>
      <c r="F221" s="4">
        <v>4</v>
      </c>
      <c r="G221" s="4" t="str">
        <f t="shared" si="23"/>
        <v>M4</v>
      </c>
      <c r="H221" s="4" t="s">
        <v>160</v>
      </c>
      <c r="I221" t="s">
        <v>33</v>
      </c>
      <c r="J221" s="23" t="s">
        <v>115</v>
      </c>
      <c r="K221" s="4" t="s">
        <v>199</v>
      </c>
      <c r="L221" t="str">
        <f t="shared" si="21"/>
        <v>PJM4</v>
      </c>
      <c r="M221" s="4" t="str">
        <f t="shared" si="24"/>
        <v>MONDAY</v>
      </c>
      <c r="N221" s="4" t="str">
        <f t="shared" si="25"/>
        <v>12:00-01:00</v>
      </c>
      <c r="O221" t="str">
        <f t="shared" si="26"/>
        <v>HC201</v>
      </c>
      <c r="P221" t="str">
        <f t="shared" si="27"/>
        <v>Prof. P. Jyothi</v>
      </c>
    </row>
    <row r="222" spans="1:16" x14ac:dyDescent="0.3">
      <c r="A222" s="4">
        <v>2</v>
      </c>
      <c r="B222" s="4" t="s">
        <v>159</v>
      </c>
      <c r="C222" s="4" t="s">
        <v>3</v>
      </c>
      <c r="D222" s="4" t="s">
        <v>152</v>
      </c>
      <c r="E222" s="4" t="str">
        <f t="shared" si="22"/>
        <v>M</v>
      </c>
      <c r="F222" s="4">
        <v>5</v>
      </c>
      <c r="G222" s="4" t="str">
        <f t="shared" si="23"/>
        <v>M5</v>
      </c>
      <c r="H222" s="4" t="s">
        <v>94</v>
      </c>
      <c r="I222" s="4" t="s">
        <v>95</v>
      </c>
      <c r="J222" s="4" t="s">
        <v>95</v>
      </c>
      <c r="K222" s="4" t="s">
        <v>95</v>
      </c>
      <c r="L222" t="str">
        <f t="shared" si="21"/>
        <v>NAM5</v>
      </c>
      <c r="M222" s="4" t="str">
        <f t="shared" si="24"/>
        <v>MONDAY</v>
      </c>
      <c r="N222" s="4" t="str">
        <f t="shared" si="25"/>
        <v>01:00-02:00</v>
      </c>
      <c r="O222" t="str">
        <f t="shared" si="26"/>
        <v>LUNCH</v>
      </c>
      <c r="P222" t="str">
        <f t="shared" si="27"/>
        <v>NA</v>
      </c>
    </row>
    <row r="223" spans="1:16" x14ac:dyDescent="0.3">
      <c r="A223" s="4">
        <v>2</v>
      </c>
      <c r="B223" s="4" t="s">
        <v>159</v>
      </c>
      <c r="C223" s="4" t="s">
        <v>3</v>
      </c>
      <c r="D223" s="4" t="s">
        <v>22</v>
      </c>
      <c r="E223" s="4" t="str">
        <f t="shared" si="22"/>
        <v>M</v>
      </c>
      <c r="F223" s="4">
        <v>6</v>
      </c>
      <c r="G223" s="4" t="str">
        <f t="shared" si="23"/>
        <v>M6</v>
      </c>
      <c r="H223" s="4" t="s">
        <v>17</v>
      </c>
      <c r="I223" t="s">
        <v>45</v>
      </c>
      <c r="J223" t="s">
        <v>46</v>
      </c>
      <c r="K223" s="4" t="s">
        <v>205</v>
      </c>
      <c r="L223" t="str">
        <f t="shared" si="21"/>
        <v>SSM6</v>
      </c>
      <c r="M223" s="4" t="str">
        <f t="shared" si="24"/>
        <v>MONDAY</v>
      </c>
      <c r="N223" s="4" t="str">
        <f t="shared" si="25"/>
        <v>02:00-03:00</v>
      </c>
      <c r="O223" t="str">
        <f t="shared" si="26"/>
        <v>HC207</v>
      </c>
      <c r="P223" t="str">
        <f t="shared" si="27"/>
        <v>Dr. Sapna Singh</v>
      </c>
    </row>
    <row r="224" spans="1:16" x14ac:dyDescent="0.3">
      <c r="A224" s="4">
        <v>2</v>
      </c>
      <c r="B224" s="4" t="s">
        <v>159</v>
      </c>
      <c r="C224" s="4" t="s">
        <v>3</v>
      </c>
      <c r="D224" s="4" t="s">
        <v>25</v>
      </c>
      <c r="E224" s="4" t="str">
        <f t="shared" si="22"/>
        <v>M</v>
      </c>
      <c r="F224" s="4">
        <v>7</v>
      </c>
      <c r="G224" s="4" t="str">
        <f t="shared" si="23"/>
        <v>M7</v>
      </c>
      <c r="H224" s="4" t="s">
        <v>17</v>
      </c>
      <c r="I224" t="s">
        <v>45</v>
      </c>
      <c r="J224" t="s">
        <v>46</v>
      </c>
      <c r="K224" s="4" t="s">
        <v>205</v>
      </c>
      <c r="L224" t="str">
        <f t="shared" si="21"/>
        <v>SSM7</v>
      </c>
      <c r="M224" s="4" t="str">
        <f t="shared" si="24"/>
        <v>MONDAY</v>
      </c>
      <c r="N224" s="4" t="str">
        <f t="shared" si="25"/>
        <v>03:00-04:00</v>
      </c>
      <c r="O224" t="str">
        <f t="shared" si="26"/>
        <v>HC207</v>
      </c>
      <c r="P224" t="str">
        <f t="shared" si="27"/>
        <v>Dr. Sapna Singh</v>
      </c>
    </row>
    <row r="225" spans="1:16" x14ac:dyDescent="0.3">
      <c r="A225" s="4">
        <v>2</v>
      </c>
      <c r="B225" s="4" t="s">
        <v>159</v>
      </c>
      <c r="C225" s="4" t="s">
        <v>3</v>
      </c>
      <c r="D225" s="4" t="s">
        <v>26</v>
      </c>
      <c r="E225" s="4" t="str">
        <f t="shared" si="22"/>
        <v>M</v>
      </c>
      <c r="F225" s="4">
        <v>8</v>
      </c>
      <c r="G225" s="4" t="str">
        <f t="shared" si="23"/>
        <v>M8</v>
      </c>
      <c r="H225" s="4" t="s">
        <v>12</v>
      </c>
      <c r="I225" t="s">
        <v>37</v>
      </c>
      <c r="J225" t="s">
        <v>38</v>
      </c>
      <c r="K225" s="4" t="s">
        <v>200</v>
      </c>
      <c r="L225" t="str">
        <f t="shared" si="21"/>
        <v>RKM8</v>
      </c>
      <c r="M225" s="4" t="str">
        <f t="shared" si="24"/>
        <v>MONDAY</v>
      </c>
      <c r="N225" s="4" t="str">
        <f t="shared" si="25"/>
        <v>04:00-05:00</v>
      </c>
      <c r="O225" t="str">
        <f t="shared" si="26"/>
        <v>HC203</v>
      </c>
      <c r="P225" t="str">
        <f t="shared" si="27"/>
        <v>Dr. Ranjith Kumar Dehury</v>
      </c>
    </row>
    <row r="226" spans="1:16" x14ac:dyDescent="0.3">
      <c r="A226" s="4">
        <v>2</v>
      </c>
      <c r="B226" s="4" t="s">
        <v>159</v>
      </c>
      <c r="C226" s="4" t="s">
        <v>3</v>
      </c>
      <c r="D226" s="4" t="s">
        <v>29</v>
      </c>
      <c r="E226" s="4" t="str">
        <f t="shared" si="22"/>
        <v>M</v>
      </c>
      <c r="F226" s="4">
        <v>9</v>
      </c>
      <c r="G226" s="4" t="str">
        <f t="shared" si="23"/>
        <v>M9</v>
      </c>
      <c r="H226" s="4" t="s">
        <v>12</v>
      </c>
      <c r="I226" t="s">
        <v>37</v>
      </c>
      <c r="J226" t="s">
        <v>38</v>
      </c>
      <c r="K226" s="4" t="s">
        <v>200</v>
      </c>
      <c r="L226" t="str">
        <f t="shared" si="21"/>
        <v>RKM9</v>
      </c>
      <c r="M226" s="4" t="str">
        <f t="shared" si="24"/>
        <v>MONDAY</v>
      </c>
      <c r="N226" s="4" t="str">
        <f t="shared" si="25"/>
        <v>05:00-06:00</v>
      </c>
      <c r="O226" t="str">
        <f t="shared" si="26"/>
        <v>HC203</v>
      </c>
      <c r="P226" t="str">
        <f t="shared" si="27"/>
        <v>Dr. Ranjith Kumar Dehury</v>
      </c>
    </row>
    <row r="227" spans="1:16" x14ac:dyDescent="0.3">
      <c r="A227" s="4">
        <v>2</v>
      </c>
      <c r="B227" s="4" t="s">
        <v>159</v>
      </c>
      <c r="C227" s="4" t="s">
        <v>4</v>
      </c>
      <c r="D227" s="4" t="s">
        <v>9</v>
      </c>
      <c r="E227" s="4" t="str">
        <f t="shared" si="22"/>
        <v>T</v>
      </c>
      <c r="F227" s="4">
        <v>1</v>
      </c>
      <c r="G227" s="4" t="str">
        <f t="shared" si="23"/>
        <v>T1</v>
      </c>
      <c r="H227" s="4" t="s">
        <v>10</v>
      </c>
      <c r="I227" s="24" t="s">
        <v>41</v>
      </c>
      <c r="J227" s="4" t="s">
        <v>76</v>
      </c>
      <c r="K227" s="4" t="s">
        <v>210</v>
      </c>
      <c r="L227" t="str">
        <f t="shared" si="21"/>
        <v>GVT1</v>
      </c>
      <c r="M227" s="4" t="str">
        <f t="shared" si="24"/>
        <v>TUESDAY</v>
      </c>
      <c r="N227" s="4" t="str">
        <f t="shared" si="25"/>
        <v>09:00-10:00</v>
      </c>
      <c r="O227" t="str">
        <f t="shared" si="26"/>
        <v>HC205</v>
      </c>
      <c r="P227" t="str">
        <f t="shared" si="27"/>
        <v>Prof. G.V.R.K. Acharyulu</v>
      </c>
    </row>
    <row r="228" spans="1:16" x14ac:dyDescent="0.3">
      <c r="A228" s="4">
        <v>2</v>
      </c>
      <c r="B228" s="4" t="s">
        <v>159</v>
      </c>
      <c r="C228" s="4" t="s">
        <v>4</v>
      </c>
      <c r="D228" s="4" t="s">
        <v>13</v>
      </c>
      <c r="E228" s="4" t="str">
        <f t="shared" si="22"/>
        <v>T</v>
      </c>
      <c r="F228" s="4">
        <v>2</v>
      </c>
      <c r="G228" s="4" t="str">
        <f t="shared" si="23"/>
        <v>T2</v>
      </c>
      <c r="H228" s="4" t="s">
        <v>10</v>
      </c>
      <c r="I228" s="24" t="s">
        <v>41</v>
      </c>
      <c r="J228" s="4" t="s">
        <v>76</v>
      </c>
      <c r="K228" s="4" t="s">
        <v>210</v>
      </c>
      <c r="L228" t="str">
        <f t="shared" si="21"/>
        <v>GVT2</v>
      </c>
      <c r="M228" s="4" t="str">
        <f t="shared" si="24"/>
        <v>TUESDAY</v>
      </c>
      <c r="N228" s="4" t="str">
        <f t="shared" si="25"/>
        <v>10:00-11:00</v>
      </c>
      <c r="O228" t="str">
        <f t="shared" si="26"/>
        <v>HC205</v>
      </c>
      <c r="P228" t="str">
        <f t="shared" si="27"/>
        <v>Prof. G.V.R.K. Acharyulu</v>
      </c>
    </row>
    <row r="229" spans="1:16" x14ac:dyDescent="0.3">
      <c r="A229" s="4">
        <v>2</v>
      </c>
      <c r="B229" s="4" t="s">
        <v>159</v>
      </c>
      <c r="C229" s="4" t="s">
        <v>4</v>
      </c>
      <c r="D229" s="4" t="s">
        <v>15</v>
      </c>
      <c r="E229" s="4" t="str">
        <f t="shared" si="22"/>
        <v>T</v>
      </c>
      <c r="F229" s="4">
        <v>3</v>
      </c>
      <c r="G229" s="4" t="str">
        <f t="shared" si="23"/>
        <v>T3</v>
      </c>
      <c r="H229" s="4" t="s">
        <v>160</v>
      </c>
      <c r="I229" t="s">
        <v>33</v>
      </c>
      <c r="J229" s="23" t="s">
        <v>115</v>
      </c>
      <c r="K229" s="4" t="s">
        <v>199</v>
      </c>
      <c r="L229" t="str">
        <f t="shared" si="21"/>
        <v>PJT3</v>
      </c>
      <c r="M229" s="4" t="str">
        <f t="shared" si="24"/>
        <v>TUESDAY</v>
      </c>
      <c r="N229" s="4" t="str">
        <f t="shared" si="25"/>
        <v>11:00-12:00</v>
      </c>
      <c r="O229" t="str">
        <f t="shared" si="26"/>
        <v>HC201</v>
      </c>
      <c r="P229" t="str">
        <f t="shared" si="27"/>
        <v>Prof. P. Jyothi</v>
      </c>
    </row>
    <row r="230" spans="1:16" x14ac:dyDescent="0.3">
      <c r="A230" s="4">
        <v>2</v>
      </c>
      <c r="B230" s="4" t="s">
        <v>159</v>
      </c>
      <c r="C230" s="4" t="s">
        <v>4</v>
      </c>
      <c r="D230" s="4" t="s">
        <v>19</v>
      </c>
      <c r="E230" s="4" t="str">
        <f t="shared" si="22"/>
        <v>T</v>
      </c>
      <c r="F230" s="4">
        <v>4</v>
      </c>
      <c r="G230" s="4" t="str">
        <f t="shared" si="23"/>
        <v>T4</v>
      </c>
      <c r="H230" s="4" t="s">
        <v>160</v>
      </c>
      <c r="I230" t="s">
        <v>33</v>
      </c>
      <c r="J230" s="23" t="s">
        <v>115</v>
      </c>
      <c r="K230" s="4" t="s">
        <v>199</v>
      </c>
      <c r="L230" t="str">
        <f t="shared" si="21"/>
        <v>PJT4</v>
      </c>
      <c r="M230" s="4" t="str">
        <f t="shared" si="24"/>
        <v>TUESDAY</v>
      </c>
      <c r="N230" s="4" t="str">
        <f t="shared" si="25"/>
        <v>12:00-01:00</v>
      </c>
      <c r="O230" t="str">
        <f t="shared" si="26"/>
        <v>HC201</v>
      </c>
      <c r="P230" t="str">
        <f t="shared" si="27"/>
        <v>Prof. P. Jyothi</v>
      </c>
    </row>
    <row r="231" spans="1:16" x14ac:dyDescent="0.3">
      <c r="A231" s="4">
        <v>2</v>
      </c>
      <c r="B231" s="4" t="s">
        <v>159</v>
      </c>
      <c r="C231" s="4" t="s">
        <v>4</v>
      </c>
      <c r="D231" s="4" t="s">
        <v>152</v>
      </c>
      <c r="E231" s="4" t="str">
        <f t="shared" si="22"/>
        <v>T</v>
      </c>
      <c r="F231" s="4">
        <v>5</v>
      </c>
      <c r="G231" s="4" t="str">
        <f t="shared" si="23"/>
        <v>T5</v>
      </c>
      <c r="H231" s="4" t="s">
        <v>94</v>
      </c>
      <c r="I231" s="4" t="s">
        <v>95</v>
      </c>
      <c r="J231" s="4" t="s">
        <v>95</v>
      </c>
      <c r="K231" s="4" t="s">
        <v>95</v>
      </c>
      <c r="L231" t="str">
        <f t="shared" si="21"/>
        <v>NAT5</v>
      </c>
      <c r="M231" s="4" t="str">
        <f t="shared" si="24"/>
        <v>TUESDAY</v>
      </c>
      <c r="N231" s="4" t="str">
        <f t="shared" si="25"/>
        <v>01:00-02:00</v>
      </c>
      <c r="O231" t="str">
        <f t="shared" si="26"/>
        <v>LUNCH</v>
      </c>
      <c r="P231" t="str">
        <f t="shared" si="27"/>
        <v>NA</v>
      </c>
    </row>
    <row r="232" spans="1:16" x14ac:dyDescent="0.3">
      <c r="A232" s="4">
        <v>2</v>
      </c>
      <c r="B232" s="4" t="s">
        <v>159</v>
      </c>
      <c r="C232" s="4" t="s">
        <v>4</v>
      </c>
      <c r="D232" s="4" t="s">
        <v>22</v>
      </c>
      <c r="E232" s="4" t="str">
        <f t="shared" si="22"/>
        <v>T</v>
      </c>
      <c r="F232" s="4">
        <v>6</v>
      </c>
      <c r="G232" s="4" t="str">
        <f t="shared" si="23"/>
        <v>T6</v>
      </c>
      <c r="H232" s="4" t="s">
        <v>96</v>
      </c>
      <c r="I232" s="4" t="s">
        <v>95</v>
      </c>
      <c r="J232" s="4" t="s">
        <v>95</v>
      </c>
      <c r="K232" s="4" t="s">
        <v>95</v>
      </c>
      <c r="L232" t="str">
        <f t="shared" si="21"/>
        <v>NAT6</v>
      </c>
      <c r="M232" s="4" t="str">
        <f t="shared" si="24"/>
        <v>TUESDAY</v>
      </c>
      <c r="N232" s="4" t="str">
        <f t="shared" si="25"/>
        <v>02:00-03:00</v>
      </c>
      <c r="O232" t="str">
        <f t="shared" si="26"/>
        <v>LEISURE</v>
      </c>
      <c r="P232" t="str">
        <f t="shared" si="27"/>
        <v>NA</v>
      </c>
    </row>
    <row r="233" spans="1:16" x14ac:dyDescent="0.3">
      <c r="A233" s="4">
        <v>2</v>
      </c>
      <c r="B233" s="4" t="s">
        <v>159</v>
      </c>
      <c r="C233" s="4" t="s">
        <v>4</v>
      </c>
      <c r="D233" s="4" t="s">
        <v>25</v>
      </c>
      <c r="E233" s="4" t="str">
        <f t="shared" si="22"/>
        <v>T</v>
      </c>
      <c r="F233" s="4">
        <v>7</v>
      </c>
      <c r="G233" s="4" t="str">
        <f t="shared" si="23"/>
        <v>T7</v>
      </c>
      <c r="H233" s="4" t="s">
        <v>96</v>
      </c>
      <c r="I233" s="4" t="s">
        <v>95</v>
      </c>
      <c r="J233" s="4" t="s">
        <v>95</v>
      </c>
      <c r="K233" s="4" t="s">
        <v>95</v>
      </c>
      <c r="L233" t="str">
        <f t="shared" si="21"/>
        <v>NAT7</v>
      </c>
      <c r="M233" s="4" t="str">
        <f t="shared" si="24"/>
        <v>TUESDAY</v>
      </c>
      <c r="N233" s="4" t="str">
        <f t="shared" si="25"/>
        <v>03:00-04:00</v>
      </c>
      <c r="O233" t="str">
        <f t="shared" si="26"/>
        <v>LEISURE</v>
      </c>
      <c r="P233" t="str">
        <f t="shared" si="27"/>
        <v>NA</v>
      </c>
    </row>
    <row r="234" spans="1:16" x14ac:dyDescent="0.3">
      <c r="A234" s="4">
        <v>2</v>
      </c>
      <c r="B234" s="4" t="s">
        <v>159</v>
      </c>
      <c r="C234" s="4" t="s">
        <v>4</v>
      </c>
      <c r="D234" s="4" t="s">
        <v>26</v>
      </c>
      <c r="E234" s="4" t="str">
        <f t="shared" si="22"/>
        <v>T</v>
      </c>
      <c r="F234" s="4">
        <v>8</v>
      </c>
      <c r="G234" s="4" t="str">
        <f t="shared" si="23"/>
        <v>T8</v>
      </c>
      <c r="H234" s="4" t="s">
        <v>27</v>
      </c>
      <c r="I234" t="s">
        <v>47</v>
      </c>
      <c r="J234" t="s">
        <v>38</v>
      </c>
      <c r="K234" s="4" t="s">
        <v>200</v>
      </c>
      <c r="L234" t="str">
        <f t="shared" si="21"/>
        <v>RKT8</v>
      </c>
      <c r="M234" s="4" t="str">
        <f t="shared" si="24"/>
        <v>TUESDAY</v>
      </c>
      <c r="N234" s="4" t="str">
        <f t="shared" si="25"/>
        <v>04:00-05:00</v>
      </c>
      <c r="O234" t="str">
        <f t="shared" si="26"/>
        <v>HC208</v>
      </c>
      <c r="P234" t="str">
        <f t="shared" si="27"/>
        <v>Dr. Ranjith Kumar Dehury</v>
      </c>
    </row>
    <row r="235" spans="1:16" x14ac:dyDescent="0.3">
      <c r="A235" s="4">
        <v>2</v>
      </c>
      <c r="B235" s="4" t="s">
        <v>159</v>
      </c>
      <c r="C235" s="4" t="s">
        <v>4</v>
      </c>
      <c r="D235" s="4" t="s">
        <v>29</v>
      </c>
      <c r="E235" s="4" t="str">
        <f t="shared" si="22"/>
        <v>T</v>
      </c>
      <c r="F235" s="4">
        <v>9</v>
      </c>
      <c r="G235" s="4" t="str">
        <f t="shared" si="23"/>
        <v>T9</v>
      </c>
      <c r="H235" s="4" t="s">
        <v>27</v>
      </c>
      <c r="I235" t="s">
        <v>47</v>
      </c>
      <c r="J235" t="s">
        <v>38</v>
      </c>
      <c r="K235" s="4" t="s">
        <v>200</v>
      </c>
      <c r="L235" t="str">
        <f t="shared" si="21"/>
        <v>RKT9</v>
      </c>
      <c r="M235" s="4" t="str">
        <f t="shared" si="24"/>
        <v>TUESDAY</v>
      </c>
      <c r="N235" s="4" t="str">
        <f t="shared" si="25"/>
        <v>05:00-06:00</v>
      </c>
      <c r="O235" t="str">
        <f t="shared" si="26"/>
        <v>HC208</v>
      </c>
      <c r="P235" t="str">
        <f t="shared" si="27"/>
        <v>Dr. Ranjith Kumar Dehury</v>
      </c>
    </row>
    <row r="236" spans="1:16" x14ac:dyDescent="0.3">
      <c r="A236" s="4">
        <v>2</v>
      </c>
      <c r="B236" s="4" t="s">
        <v>159</v>
      </c>
      <c r="C236" s="4" t="s">
        <v>5</v>
      </c>
      <c r="D236" s="4" t="s">
        <v>9</v>
      </c>
      <c r="E236" s="4" t="str">
        <f t="shared" si="22"/>
        <v>W</v>
      </c>
      <c r="F236" s="4">
        <v>1</v>
      </c>
      <c r="G236" s="4" t="str">
        <f t="shared" si="23"/>
        <v>W1</v>
      </c>
      <c r="H236" s="4" t="s">
        <v>10</v>
      </c>
      <c r="I236" s="24" t="s">
        <v>41</v>
      </c>
      <c r="J236" s="24" t="s">
        <v>76</v>
      </c>
      <c r="K236" s="4" t="s">
        <v>210</v>
      </c>
      <c r="L236" t="str">
        <f t="shared" si="21"/>
        <v>GVW1</v>
      </c>
      <c r="M236" s="4" t="str">
        <f t="shared" si="24"/>
        <v>WEDNESDAY</v>
      </c>
      <c r="N236" s="4" t="str">
        <f t="shared" si="25"/>
        <v>09:00-10:00</v>
      </c>
      <c r="O236" t="str">
        <f t="shared" si="26"/>
        <v>HC205</v>
      </c>
      <c r="P236" t="str">
        <f t="shared" si="27"/>
        <v>Prof. G.V.R.K. Acharyulu</v>
      </c>
    </row>
    <row r="237" spans="1:16" x14ac:dyDescent="0.3">
      <c r="A237" s="4">
        <v>2</v>
      </c>
      <c r="B237" s="4" t="s">
        <v>159</v>
      </c>
      <c r="C237" s="4" t="s">
        <v>5</v>
      </c>
      <c r="D237" s="4" t="s">
        <v>13</v>
      </c>
      <c r="E237" s="4" t="str">
        <f t="shared" si="22"/>
        <v>W</v>
      </c>
      <c r="F237" s="4">
        <v>2</v>
      </c>
      <c r="G237" s="4" t="str">
        <f t="shared" si="23"/>
        <v>W2</v>
      </c>
      <c r="H237" s="4" t="s">
        <v>10</v>
      </c>
      <c r="I237" s="24" t="s">
        <v>41</v>
      </c>
      <c r="J237" s="4" t="s">
        <v>76</v>
      </c>
      <c r="K237" s="4" t="s">
        <v>210</v>
      </c>
      <c r="L237" t="str">
        <f t="shared" si="21"/>
        <v>GVW2</v>
      </c>
      <c r="M237" s="4" t="str">
        <f t="shared" si="24"/>
        <v>WEDNESDAY</v>
      </c>
      <c r="N237" s="4" t="str">
        <f t="shared" si="25"/>
        <v>10:00-11:00</v>
      </c>
      <c r="O237" t="str">
        <f t="shared" si="26"/>
        <v>HC205</v>
      </c>
      <c r="P237" t="str">
        <f t="shared" si="27"/>
        <v>Prof. G.V.R.K. Acharyulu</v>
      </c>
    </row>
    <row r="238" spans="1:16" x14ac:dyDescent="0.3">
      <c r="A238" s="4">
        <v>2</v>
      </c>
      <c r="B238" s="4" t="s">
        <v>159</v>
      </c>
      <c r="C238" s="4" t="s">
        <v>5</v>
      </c>
      <c r="D238" s="4" t="s">
        <v>15</v>
      </c>
      <c r="E238" s="4" t="str">
        <f t="shared" si="22"/>
        <v>W</v>
      </c>
      <c r="F238" s="4">
        <v>3</v>
      </c>
      <c r="G238" s="4" t="str">
        <f t="shared" si="23"/>
        <v>W3</v>
      </c>
      <c r="H238" s="4" t="s">
        <v>17</v>
      </c>
      <c r="I238" t="s">
        <v>45</v>
      </c>
      <c r="J238" t="s">
        <v>46</v>
      </c>
      <c r="K238" s="4" t="s">
        <v>205</v>
      </c>
      <c r="L238" t="str">
        <f t="shared" si="21"/>
        <v>SSW3</v>
      </c>
      <c r="M238" s="4" t="str">
        <f t="shared" si="24"/>
        <v>WEDNESDAY</v>
      </c>
      <c r="N238" s="4" t="str">
        <f t="shared" si="25"/>
        <v>11:00-12:00</v>
      </c>
      <c r="O238" t="str">
        <f t="shared" si="26"/>
        <v>HC207</v>
      </c>
      <c r="P238" t="str">
        <f t="shared" si="27"/>
        <v>Dr. Sapna Singh</v>
      </c>
    </row>
    <row r="239" spans="1:16" x14ac:dyDescent="0.3">
      <c r="A239" s="4">
        <v>2</v>
      </c>
      <c r="B239" s="4" t="s">
        <v>159</v>
      </c>
      <c r="C239" s="4" t="s">
        <v>5</v>
      </c>
      <c r="D239" s="4" t="s">
        <v>19</v>
      </c>
      <c r="E239" s="4" t="str">
        <f t="shared" si="22"/>
        <v>W</v>
      </c>
      <c r="F239" s="4">
        <v>4</v>
      </c>
      <c r="G239" s="4" t="str">
        <f t="shared" si="23"/>
        <v>W4</v>
      </c>
      <c r="H239" s="4" t="s">
        <v>17</v>
      </c>
      <c r="I239" t="s">
        <v>45</v>
      </c>
      <c r="J239" t="s">
        <v>46</v>
      </c>
      <c r="K239" s="4" t="s">
        <v>205</v>
      </c>
      <c r="L239" t="str">
        <f t="shared" si="21"/>
        <v>SSW4</v>
      </c>
      <c r="M239" s="4" t="str">
        <f t="shared" si="24"/>
        <v>WEDNESDAY</v>
      </c>
      <c r="N239" s="4" t="str">
        <f t="shared" si="25"/>
        <v>12:00-01:00</v>
      </c>
      <c r="O239" t="str">
        <f t="shared" si="26"/>
        <v>HC207</v>
      </c>
      <c r="P239" t="str">
        <f t="shared" si="27"/>
        <v>Dr. Sapna Singh</v>
      </c>
    </row>
    <row r="240" spans="1:16" x14ac:dyDescent="0.3">
      <c r="A240" s="4">
        <v>2</v>
      </c>
      <c r="B240" s="4" t="s">
        <v>159</v>
      </c>
      <c r="C240" s="4" t="s">
        <v>5</v>
      </c>
      <c r="D240" s="4" t="s">
        <v>152</v>
      </c>
      <c r="E240" s="4" t="str">
        <f t="shared" si="22"/>
        <v>W</v>
      </c>
      <c r="F240" s="4">
        <v>5</v>
      </c>
      <c r="G240" s="4" t="str">
        <f t="shared" si="23"/>
        <v>W5</v>
      </c>
      <c r="H240" s="4" t="s">
        <v>94</v>
      </c>
      <c r="I240" s="4" t="s">
        <v>95</v>
      </c>
      <c r="J240" s="4" t="s">
        <v>95</v>
      </c>
      <c r="K240" s="4" t="s">
        <v>95</v>
      </c>
      <c r="L240" t="str">
        <f t="shared" si="21"/>
        <v>NAW5</v>
      </c>
      <c r="M240" s="4" t="str">
        <f t="shared" si="24"/>
        <v>WEDNESDAY</v>
      </c>
      <c r="N240" s="4" t="str">
        <f t="shared" si="25"/>
        <v>01:00-02:00</v>
      </c>
      <c r="O240" t="str">
        <f t="shared" si="26"/>
        <v>LUNCH</v>
      </c>
      <c r="P240" t="str">
        <f t="shared" si="27"/>
        <v>NA</v>
      </c>
    </row>
    <row r="241" spans="1:16" x14ac:dyDescent="0.3">
      <c r="A241" s="4">
        <v>2</v>
      </c>
      <c r="B241" s="4" t="s">
        <v>159</v>
      </c>
      <c r="C241" s="4" t="s">
        <v>5</v>
      </c>
      <c r="D241" s="4" t="s">
        <v>22</v>
      </c>
      <c r="E241" s="4" t="str">
        <f t="shared" si="22"/>
        <v>W</v>
      </c>
      <c r="F241" s="4">
        <v>6</v>
      </c>
      <c r="G241" s="4" t="str">
        <f t="shared" si="23"/>
        <v>W6</v>
      </c>
      <c r="H241" s="4" t="s">
        <v>96</v>
      </c>
      <c r="I241" s="4" t="s">
        <v>95</v>
      </c>
      <c r="J241" s="4" t="s">
        <v>95</v>
      </c>
      <c r="K241" s="4" t="s">
        <v>95</v>
      </c>
      <c r="L241" t="str">
        <f t="shared" si="21"/>
        <v>NAW6</v>
      </c>
      <c r="M241" s="4" t="str">
        <f t="shared" si="24"/>
        <v>WEDNESDAY</v>
      </c>
      <c r="N241" s="4" t="str">
        <f t="shared" si="25"/>
        <v>02:00-03:00</v>
      </c>
      <c r="O241" t="str">
        <f t="shared" si="26"/>
        <v>LEISURE</v>
      </c>
      <c r="P241" t="str">
        <f t="shared" si="27"/>
        <v>NA</v>
      </c>
    </row>
    <row r="242" spans="1:16" x14ac:dyDescent="0.3">
      <c r="A242" s="4">
        <v>2</v>
      </c>
      <c r="B242" s="4" t="s">
        <v>159</v>
      </c>
      <c r="C242" s="4" t="s">
        <v>5</v>
      </c>
      <c r="D242" s="4" t="s">
        <v>25</v>
      </c>
      <c r="E242" s="4" t="str">
        <f t="shared" si="22"/>
        <v>W</v>
      </c>
      <c r="F242" s="4">
        <v>7</v>
      </c>
      <c r="G242" s="4" t="str">
        <f t="shared" si="23"/>
        <v>W7</v>
      </c>
      <c r="H242" s="4" t="s">
        <v>96</v>
      </c>
      <c r="I242" s="4" t="s">
        <v>95</v>
      </c>
      <c r="J242" s="4" t="s">
        <v>95</v>
      </c>
      <c r="K242" s="4" t="s">
        <v>95</v>
      </c>
      <c r="L242" t="str">
        <f t="shared" si="21"/>
        <v>NAW7</v>
      </c>
      <c r="M242" s="4" t="str">
        <f t="shared" si="24"/>
        <v>WEDNESDAY</v>
      </c>
      <c r="N242" s="4" t="str">
        <f t="shared" si="25"/>
        <v>03:00-04:00</v>
      </c>
      <c r="O242" t="str">
        <f t="shared" si="26"/>
        <v>LEISURE</v>
      </c>
      <c r="P242" t="str">
        <f t="shared" si="27"/>
        <v>NA</v>
      </c>
    </row>
    <row r="243" spans="1:16" x14ac:dyDescent="0.3">
      <c r="A243" s="4">
        <v>2</v>
      </c>
      <c r="B243" s="4" t="s">
        <v>159</v>
      </c>
      <c r="C243" s="4" t="s">
        <v>5</v>
      </c>
      <c r="D243" s="4" t="s">
        <v>26</v>
      </c>
      <c r="E243" s="4" t="str">
        <f t="shared" si="22"/>
        <v>W</v>
      </c>
      <c r="F243" s="4">
        <v>8</v>
      </c>
      <c r="G243" s="4" t="str">
        <f t="shared" si="23"/>
        <v>W8</v>
      </c>
      <c r="H243" s="4" t="s">
        <v>96</v>
      </c>
      <c r="I243" s="4" t="s">
        <v>95</v>
      </c>
      <c r="J243" s="4" t="s">
        <v>95</v>
      </c>
      <c r="K243" s="4" t="s">
        <v>95</v>
      </c>
      <c r="L243" t="str">
        <f t="shared" si="21"/>
        <v>NAW8</v>
      </c>
      <c r="M243" s="4" t="str">
        <f t="shared" si="24"/>
        <v>WEDNESDAY</v>
      </c>
      <c r="N243" s="4" t="str">
        <f t="shared" si="25"/>
        <v>04:00-05:00</v>
      </c>
      <c r="O243" t="str">
        <f t="shared" si="26"/>
        <v>LEISURE</v>
      </c>
      <c r="P243" t="str">
        <f t="shared" si="27"/>
        <v>NA</v>
      </c>
    </row>
    <row r="244" spans="1:16" x14ac:dyDescent="0.3">
      <c r="A244" s="4">
        <v>2</v>
      </c>
      <c r="B244" s="4" t="s">
        <v>159</v>
      </c>
      <c r="C244" s="4" t="s">
        <v>5</v>
      </c>
      <c r="D244" s="4" t="s">
        <v>29</v>
      </c>
      <c r="E244" s="4" t="str">
        <f t="shared" si="22"/>
        <v>W</v>
      </c>
      <c r="F244" s="4">
        <v>9</v>
      </c>
      <c r="G244" s="4" t="str">
        <f t="shared" si="23"/>
        <v>W9</v>
      </c>
      <c r="H244" s="4" t="s">
        <v>96</v>
      </c>
      <c r="I244" s="4" t="s">
        <v>95</v>
      </c>
      <c r="J244" s="4" t="s">
        <v>95</v>
      </c>
      <c r="K244" s="4" t="s">
        <v>95</v>
      </c>
      <c r="L244" t="str">
        <f t="shared" si="21"/>
        <v>NAW9</v>
      </c>
      <c r="M244" s="4" t="str">
        <f t="shared" si="24"/>
        <v>WEDNESDAY</v>
      </c>
      <c r="N244" s="4" t="str">
        <f t="shared" si="25"/>
        <v>05:00-06:00</v>
      </c>
      <c r="O244" t="str">
        <f t="shared" si="26"/>
        <v>LEISURE</v>
      </c>
      <c r="P244" t="str">
        <f t="shared" si="27"/>
        <v>NA</v>
      </c>
    </row>
    <row r="245" spans="1:16" x14ac:dyDescent="0.3">
      <c r="A245" s="4">
        <v>2</v>
      </c>
      <c r="B245" s="4" t="s">
        <v>159</v>
      </c>
      <c r="C245" s="4" t="s">
        <v>6</v>
      </c>
      <c r="D245" s="4" t="s">
        <v>9</v>
      </c>
      <c r="E245" s="4" t="str">
        <f t="shared" si="22"/>
        <v>TH</v>
      </c>
      <c r="F245" s="4">
        <v>1</v>
      </c>
      <c r="G245" s="4" t="str">
        <f t="shared" si="23"/>
        <v>TH1</v>
      </c>
      <c r="H245" s="4" t="s">
        <v>11</v>
      </c>
      <c r="I245" t="s">
        <v>39</v>
      </c>
      <c r="J245" s="24" t="s">
        <v>73</v>
      </c>
      <c r="K245" s="4" t="s">
        <v>209</v>
      </c>
      <c r="L245" t="str">
        <f t="shared" si="21"/>
        <v>DVTH1</v>
      </c>
      <c r="M245" s="4" t="str">
        <f t="shared" si="24"/>
        <v>THURSDAY</v>
      </c>
      <c r="N245" s="4" t="str">
        <f t="shared" si="25"/>
        <v>09:00-10:00</v>
      </c>
      <c r="O245" t="str">
        <f t="shared" si="26"/>
        <v>HC204</v>
      </c>
      <c r="P245" t="str">
        <f t="shared" si="27"/>
        <v>Dr.D.V Srinivas Kumar</v>
      </c>
    </row>
    <row r="246" spans="1:16" x14ac:dyDescent="0.3">
      <c r="A246" s="4">
        <v>2</v>
      </c>
      <c r="B246" s="4" t="s">
        <v>159</v>
      </c>
      <c r="C246" s="4" t="s">
        <v>6</v>
      </c>
      <c r="D246" s="4" t="s">
        <v>13</v>
      </c>
      <c r="E246" s="4" t="str">
        <f t="shared" si="22"/>
        <v>TH</v>
      </c>
      <c r="F246" s="4">
        <v>2</v>
      </c>
      <c r="G246" s="4" t="str">
        <f t="shared" si="23"/>
        <v>TH2</v>
      </c>
      <c r="H246" s="4" t="s">
        <v>11</v>
      </c>
      <c r="I246" t="s">
        <v>39</v>
      </c>
      <c r="J246" s="24" t="s">
        <v>73</v>
      </c>
      <c r="K246" s="4" t="s">
        <v>209</v>
      </c>
      <c r="L246" t="str">
        <f t="shared" si="21"/>
        <v>DVTH2</v>
      </c>
      <c r="M246" s="4" t="str">
        <f t="shared" si="24"/>
        <v>THURSDAY</v>
      </c>
      <c r="N246" s="4" t="str">
        <f t="shared" si="25"/>
        <v>10:00-11:00</v>
      </c>
      <c r="O246" t="str">
        <f t="shared" si="26"/>
        <v>HC204</v>
      </c>
      <c r="P246" t="str">
        <f t="shared" si="27"/>
        <v>Dr.D.V Srinivas Kumar</v>
      </c>
    </row>
    <row r="247" spans="1:16" x14ac:dyDescent="0.3">
      <c r="A247" s="4">
        <v>2</v>
      </c>
      <c r="B247" s="4" t="s">
        <v>159</v>
      </c>
      <c r="C247" s="4" t="s">
        <v>6</v>
      </c>
      <c r="D247" s="4" t="s">
        <v>15</v>
      </c>
      <c r="E247" s="4" t="str">
        <f t="shared" si="22"/>
        <v>TH</v>
      </c>
      <c r="F247" s="4">
        <v>3</v>
      </c>
      <c r="G247" s="4" t="str">
        <f t="shared" si="23"/>
        <v>TH3</v>
      </c>
      <c r="H247" s="4" t="s">
        <v>18</v>
      </c>
      <c r="I247" s="4" t="s">
        <v>35</v>
      </c>
      <c r="J247" t="s">
        <v>36</v>
      </c>
      <c r="K247" s="4" t="s">
        <v>207</v>
      </c>
      <c r="L247" t="str">
        <f t="shared" si="21"/>
        <v>MJTH3</v>
      </c>
      <c r="M247" s="4" t="str">
        <f t="shared" si="24"/>
        <v>THURSDAY</v>
      </c>
      <c r="N247" s="4" t="str">
        <f t="shared" si="25"/>
        <v>11:00-12:00</v>
      </c>
      <c r="O247" t="str">
        <f t="shared" si="26"/>
        <v>HC202</v>
      </c>
      <c r="P247" t="str">
        <f t="shared" si="27"/>
        <v>Prof.V.Mary Jessica</v>
      </c>
    </row>
    <row r="248" spans="1:16" x14ac:dyDescent="0.3">
      <c r="A248" s="4">
        <v>2</v>
      </c>
      <c r="B248" s="4" t="s">
        <v>159</v>
      </c>
      <c r="C248" s="4" t="s">
        <v>6</v>
      </c>
      <c r="D248" s="4" t="s">
        <v>19</v>
      </c>
      <c r="E248" s="4" t="str">
        <f t="shared" si="22"/>
        <v>TH</v>
      </c>
      <c r="F248" s="4">
        <v>4</v>
      </c>
      <c r="G248" s="4" t="str">
        <f t="shared" si="23"/>
        <v>TH4</v>
      </c>
      <c r="H248" s="4" t="s">
        <v>18</v>
      </c>
      <c r="I248" s="4" t="s">
        <v>35</v>
      </c>
      <c r="J248" t="s">
        <v>36</v>
      </c>
      <c r="K248" s="4" t="s">
        <v>207</v>
      </c>
      <c r="L248" t="str">
        <f t="shared" si="21"/>
        <v>MJTH4</v>
      </c>
      <c r="M248" s="4" t="str">
        <f t="shared" si="24"/>
        <v>THURSDAY</v>
      </c>
      <c r="N248" s="4" t="str">
        <f t="shared" si="25"/>
        <v>12:00-01:00</v>
      </c>
      <c r="O248" t="str">
        <f t="shared" si="26"/>
        <v>HC202</v>
      </c>
      <c r="P248" t="str">
        <f t="shared" si="27"/>
        <v>Prof.V.Mary Jessica</v>
      </c>
    </row>
    <row r="249" spans="1:16" x14ac:dyDescent="0.3">
      <c r="A249" s="4">
        <v>2</v>
      </c>
      <c r="B249" s="4" t="s">
        <v>159</v>
      </c>
      <c r="C249" s="4" t="s">
        <v>6</v>
      </c>
      <c r="D249" s="4" t="s">
        <v>152</v>
      </c>
      <c r="E249" s="4" t="str">
        <f t="shared" si="22"/>
        <v>TH</v>
      </c>
      <c r="F249" s="4">
        <v>5</v>
      </c>
      <c r="G249" s="4" t="str">
        <f t="shared" si="23"/>
        <v>TH5</v>
      </c>
      <c r="H249" s="4" t="s">
        <v>94</v>
      </c>
      <c r="I249" s="4" t="s">
        <v>95</v>
      </c>
      <c r="J249" s="4" t="s">
        <v>95</v>
      </c>
      <c r="K249" s="4" t="s">
        <v>95</v>
      </c>
      <c r="L249" t="str">
        <f t="shared" si="21"/>
        <v>NATH5</v>
      </c>
      <c r="M249" s="4" t="str">
        <f t="shared" si="24"/>
        <v>THURSDAY</v>
      </c>
      <c r="N249" s="4" t="str">
        <f t="shared" si="25"/>
        <v>01:00-02:00</v>
      </c>
      <c r="O249" t="str">
        <f t="shared" si="26"/>
        <v>LUNCH</v>
      </c>
      <c r="P249" t="str">
        <f t="shared" si="27"/>
        <v>NA</v>
      </c>
    </row>
    <row r="250" spans="1:16" x14ac:dyDescent="0.3">
      <c r="A250" s="4">
        <v>2</v>
      </c>
      <c r="B250" s="4" t="s">
        <v>159</v>
      </c>
      <c r="C250" s="4" t="s">
        <v>6</v>
      </c>
      <c r="D250" s="4" t="s">
        <v>22</v>
      </c>
      <c r="E250" s="4" t="str">
        <f t="shared" si="22"/>
        <v>TH</v>
      </c>
      <c r="F250" s="4">
        <v>6</v>
      </c>
      <c r="G250" s="4" t="str">
        <f t="shared" si="23"/>
        <v>TH6</v>
      </c>
      <c r="H250" s="4" t="s">
        <v>24</v>
      </c>
      <c r="I250" t="s">
        <v>48</v>
      </c>
      <c r="J250" t="s">
        <v>49</v>
      </c>
      <c r="K250" s="4" t="s">
        <v>203</v>
      </c>
      <c r="L250" t="str">
        <f t="shared" si="21"/>
        <v>PMTH6</v>
      </c>
      <c r="M250" s="4" t="str">
        <f t="shared" si="24"/>
        <v>THURSDAY</v>
      </c>
      <c r="N250" s="4" t="str">
        <f t="shared" si="25"/>
        <v>02:00-03:00</v>
      </c>
      <c r="O250" t="str">
        <f t="shared" si="26"/>
        <v>HC209</v>
      </c>
      <c r="P250" t="str">
        <f t="shared" si="27"/>
        <v>Dr. P. Murugan</v>
      </c>
    </row>
    <row r="251" spans="1:16" x14ac:dyDescent="0.3">
      <c r="A251" s="4">
        <v>2</v>
      </c>
      <c r="B251" s="4" t="s">
        <v>159</v>
      </c>
      <c r="C251" s="4" t="s">
        <v>6</v>
      </c>
      <c r="D251" s="4" t="s">
        <v>25</v>
      </c>
      <c r="E251" s="4" t="str">
        <f t="shared" si="22"/>
        <v>TH</v>
      </c>
      <c r="F251" s="4">
        <v>7</v>
      </c>
      <c r="G251" s="4" t="str">
        <f t="shared" si="23"/>
        <v>TH7</v>
      </c>
      <c r="H251" s="4" t="s">
        <v>24</v>
      </c>
      <c r="I251" t="s">
        <v>48</v>
      </c>
      <c r="J251" t="s">
        <v>49</v>
      </c>
      <c r="K251" s="4" t="s">
        <v>203</v>
      </c>
      <c r="L251" t="str">
        <f t="shared" si="21"/>
        <v>PMTH7</v>
      </c>
      <c r="M251" s="4" t="str">
        <f t="shared" si="24"/>
        <v>THURSDAY</v>
      </c>
      <c r="N251" s="4" t="str">
        <f t="shared" si="25"/>
        <v>03:00-04:00</v>
      </c>
      <c r="O251" t="str">
        <f t="shared" si="26"/>
        <v>HC209</v>
      </c>
      <c r="P251" t="str">
        <f t="shared" si="27"/>
        <v>Dr. P. Murugan</v>
      </c>
    </row>
    <row r="252" spans="1:16" x14ac:dyDescent="0.3">
      <c r="A252" s="4">
        <v>2</v>
      </c>
      <c r="B252" s="4" t="s">
        <v>159</v>
      </c>
      <c r="C252" s="4" t="s">
        <v>6</v>
      </c>
      <c r="D252" s="4" t="s">
        <v>26</v>
      </c>
      <c r="E252" s="4" t="str">
        <f t="shared" si="22"/>
        <v>TH</v>
      </c>
      <c r="F252" s="4">
        <v>8</v>
      </c>
      <c r="G252" s="4" t="str">
        <f t="shared" si="23"/>
        <v>TH8</v>
      </c>
      <c r="H252" s="4" t="s">
        <v>14</v>
      </c>
      <c r="I252" t="s">
        <v>43</v>
      </c>
      <c r="J252" s="66" t="s">
        <v>214</v>
      </c>
      <c r="K252" s="66" t="s">
        <v>215</v>
      </c>
      <c r="L252" t="str">
        <f t="shared" si="21"/>
        <v>BNTH8</v>
      </c>
      <c r="M252" s="4" t="str">
        <f t="shared" si="24"/>
        <v>THURSDAY</v>
      </c>
      <c r="N252" s="4" t="str">
        <f t="shared" si="25"/>
        <v>04:00-05:00</v>
      </c>
      <c r="O252" t="str">
        <f t="shared" si="26"/>
        <v>HC206</v>
      </c>
      <c r="P252" t="str">
        <f t="shared" si="27"/>
        <v>Dr.B.N.V.Parthasarathi</v>
      </c>
    </row>
    <row r="253" spans="1:16" x14ac:dyDescent="0.3">
      <c r="A253" s="4">
        <v>2</v>
      </c>
      <c r="B253" s="4" t="s">
        <v>159</v>
      </c>
      <c r="C253" s="4" t="s">
        <v>6</v>
      </c>
      <c r="D253" s="4" t="s">
        <v>29</v>
      </c>
      <c r="E253" s="4" t="str">
        <f t="shared" si="22"/>
        <v>TH</v>
      </c>
      <c r="F253" s="4">
        <v>9</v>
      </c>
      <c r="G253" s="4" t="str">
        <f t="shared" si="23"/>
        <v>TH9</v>
      </c>
      <c r="H253" s="4" t="s">
        <v>14</v>
      </c>
      <c r="I253" t="s">
        <v>43</v>
      </c>
      <c r="J253" s="66" t="s">
        <v>214</v>
      </c>
      <c r="K253" s="4" t="s">
        <v>215</v>
      </c>
      <c r="L253" t="str">
        <f t="shared" si="21"/>
        <v>BNTH9</v>
      </c>
      <c r="M253" s="4" t="str">
        <f t="shared" si="24"/>
        <v>THURSDAY</v>
      </c>
      <c r="N253" s="4" t="str">
        <f t="shared" si="25"/>
        <v>05:00-06:00</v>
      </c>
      <c r="O253" t="str">
        <f t="shared" si="26"/>
        <v>HC206</v>
      </c>
      <c r="P253" t="str">
        <f t="shared" si="27"/>
        <v>Dr.B.N.V.Parthasarathi</v>
      </c>
    </row>
    <row r="254" spans="1:16" x14ac:dyDescent="0.3">
      <c r="A254" s="4">
        <v>2</v>
      </c>
      <c r="B254" s="4" t="s">
        <v>159</v>
      </c>
      <c r="C254" s="4" t="s">
        <v>7</v>
      </c>
      <c r="D254" s="4" t="s">
        <v>9</v>
      </c>
      <c r="E254" s="4" t="str">
        <f t="shared" si="22"/>
        <v>F</v>
      </c>
      <c r="F254" s="4">
        <v>1</v>
      </c>
      <c r="G254" s="4" t="str">
        <f t="shared" si="23"/>
        <v>F1</v>
      </c>
      <c r="H254" s="4" t="s">
        <v>12</v>
      </c>
      <c r="I254" t="s">
        <v>37</v>
      </c>
      <c r="J254" t="s">
        <v>38</v>
      </c>
      <c r="K254" s="4" t="s">
        <v>200</v>
      </c>
      <c r="L254" t="str">
        <f t="shared" si="21"/>
        <v>RKF1</v>
      </c>
      <c r="M254" s="4" t="str">
        <f t="shared" si="24"/>
        <v>FRIDAY</v>
      </c>
      <c r="N254" s="4" t="str">
        <f t="shared" si="25"/>
        <v>09:00-10:00</v>
      </c>
      <c r="O254" t="str">
        <f t="shared" si="26"/>
        <v>HC203</v>
      </c>
      <c r="P254" t="str">
        <f t="shared" si="27"/>
        <v>Dr. Ranjith Kumar Dehury</v>
      </c>
    </row>
    <row r="255" spans="1:16" x14ac:dyDescent="0.3">
      <c r="A255" s="4">
        <v>2</v>
      </c>
      <c r="B255" s="4" t="s">
        <v>159</v>
      </c>
      <c r="C255" s="4" t="s">
        <v>7</v>
      </c>
      <c r="D255" s="4" t="s">
        <v>13</v>
      </c>
      <c r="E255" s="4" t="str">
        <f t="shared" si="22"/>
        <v>F</v>
      </c>
      <c r="F255" s="4">
        <v>2</v>
      </c>
      <c r="G255" s="4" t="str">
        <f t="shared" si="23"/>
        <v>F2</v>
      </c>
      <c r="H255" s="4" t="s">
        <v>12</v>
      </c>
      <c r="I255" t="s">
        <v>37</v>
      </c>
      <c r="J255" t="s">
        <v>38</v>
      </c>
      <c r="K255" s="4" t="s">
        <v>200</v>
      </c>
      <c r="L255" t="str">
        <f t="shared" si="21"/>
        <v>RKF2</v>
      </c>
      <c r="M255" s="4" t="str">
        <f t="shared" si="24"/>
        <v>FRIDAY</v>
      </c>
      <c r="N255" s="4" t="str">
        <f t="shared" si="25"/>
        <v>10:00-11:00</v>
      </c>
      <c r="O255" t="str">
        <f t="shared" si="26"/>
        <v>HC203</v>
      </c>
      <c r="P255" t="str">
        <f t="shared" si="27"/>
        <v>Dr. Ranjith Kumar Dehury</v>
      </c>
    </row>
    <row r="256" spans="1:16" x14ac:dyDescent="0.3">
      <c r="A256" s="4">
        <v>2</v>
      </c>
      <c r="B256" s="4" t="s">
        <v>159</v>
      </c>
      <c r="C256" s="4" t="s">
        <v>7</v>
      </c>
      <c r="D256" s="4" t="s">
        <v>15</v>
      </c>
      <c r="E256" s="4" t="str">
        <f t="shared" si="22"/>
        <v>F</v>
      </c>
      <c r="F256" s="4">
        <v>3</v>
      </c>
      <c r="G256" s="4" t="str">
        <f t="shared" si="23"/>
        <v>F3</v>
      </c>
      <c r="H256" s="4" t="s">
        <v>18</v>
      </c>
      <c r="I256" s="4" t="s">
        <v>35</v>
      </c>
      <c r="J256" t="s">
        <v>36</v>
      </c>
      <c r="K256" s="4" t="s">
        <v>207</v>
      </c>
      <c r="L256" t="str">
        <f t="shared" si="21"/>
        <v>MJF3</v>
      </c>
      <c r="M256" s="4" t="str">
        <f t="shared" si="24"/>
        <v>FRIDAY</v>
      </c>
      <c r="N256" s="4" t="str">
        <f t="shared" si="25"/>
        <v>11:00-12:00</v>
      </c>
      <c r="O256" t="str">
        <f t="shared" si="26"/>
        <v>HC202</v>
      </c>
      <c r="P256" t="str">
        <f t="shared" si="27"/>
        <v>Prof.V.Mary Jessica</v>
      </c>
    </row>
    <row r="257" spans="1:16" x14ac:dyDescent="0.3">
      <c r="A257" s="4">
        <v>2</v>
      </c>
      <c r="B257" s="4" t="s">
        <v>159</v>
      </c>
      <c r="C257" s="4" t="s">
        <v>7</v>
      </c>
      <c r="D257" s="4" t="s">
        <v>19</v>
      </c>
      <c r="E257" s="4" t="str">
        <f t="shared" si="22"/>
        <v>F</v>
      </c>
      <c r="F257" s="4">
        <v>4</v>
      </c>
      <c r="G257" s="4" t="str">
        <f t="shared" si="23"/>
        <v>F4</v>
      </c>
      <c r="H257" s="4" t="s">
        <v>18</v>
      </c>
      <c r="I257" s="4" t="s">
        <v>35</v>
      </c>
      <c r="J257" t="s">
        <v>36</v>
      </c>
      <c r="K257" s="4" t="s">
        <v>207</v>
      </c>
      <c r="L257" t="str">
        <f t="shared" si="21"/>
        <v>MJF4</v>
      </c>
      <c r="M257" s="4" t="str">
        <f t="shared" si="24"/>
        <v>FRIDAY</v>
      </c>
      <c r="N257" s="4" t="str">
        <f t="shared" si="25"/>
        <v>12:00-01:00</v>
      </c>
      <c r="O257" t="str">
        <f t="shared" si="26"/>
        <v>HC202</v>
      </c>
      <c r="P257" t="str">
        <f t="shared" si="27"/>
        <v>Prof.V.Mary Jessica</v>
      </c>
    </row>
    <row r="258" spans="1:16" x14ac:dyDescent="0.3">
      <c r="A258" s="4">
        <v>2</v>
      </c>
      <c r="B258" s="4" t="s">
        <v>159</v>
      </c>
      <c r="C258" s="4" t="s">
        <v>7</v>
      </c>
      <c r="D258" s="4" t="s">
        <v>152</v>
      </c>
      <c r="E258" s="4" t="str">
        <f t="shared" si="22"/>
        <v>F</v>
      </c>
      <c r="F258" s="4">
        <v>5</v>
      </c>
      <c r="G258" s="4" t="str">
        <f t="shared" si="23"/>
        <v>F5</v>
      </c>
      <c r="H258" s="4" t="s">
        <v>94</v>
      </c>
      <c r="I258" s="4" t="s">
        <v>95</v>
      </c>
      <c r="J258" s="4" t="s">
        <v>95</v>
      </c>
      <c r="K258" s="4" t="s">
        <v>95</v>
      </c>
      <c r="L258" t="str">
        <f t="shared" ref="L258:L321" si="28">_xlfn.CONCAT(K258,G258)</f>
        <v>NAF5</v>
      </c>
      <c r="M258" s="4" t="str">
        <f t="shared" si="24"/>
        <v>FRIDAY</v>
      </c>
      <c r="N258" s="4" t="str">
        <f t="shared" si="25"/>
        <v>01:00-02:00</v>
      </c>
      <c r="O258" t="str">
        <f t="shared" si="26"/>
        <v>LUNCH</v>
      </c>
      <c r="P258" t="str">
        <f t="shared" si="27"/>
        <v>NA</v>
      </c>
    </row>
    <row r="259" spans="1:16" x14ac:dyDescent="0.3">
      <c r="A259" s="4">
        <v>2</v>
      </c>
      <c r="B259" s="4" t="s">
        <v>159</v>
      </c>
      <c r="C259" s="4" t="s">
        <v>7</v>
      </c>
      <c r="D259" s="4" t="s">
        <v>22</v>
      </c>
      <c r="E259" s="4" t="str">
        <f t="shared" ref="E259:E322" si="29">IF(C259="MONDAY","M",IF(C259="TUESDAY","T",IF(C259="WEDNESDAY","W",IF(C259="THURSDAY","TH",IF(C259="FRIDAY","F",IF(C259="SATURDAY","S","NA"))))))</f>
        <v>F</v>
      </c>
      <c r="F259" s="4">
        <v>6</v>
      </c>
      <c r="G259" s="4" t="str">
        <f t="shared" ref="G259:G322" si="30">_xlfn.CONCAT(E259,F259)</f>
        <v>F6</v>
      </c>
      <c r="H259" s="4" t="s">
        <v>24</v>
      </c>
      <c r="I259" t="s">
        <v>48</v>
      </c>
      <c r="J259" t="s">
        <v>49</v>
      </c>
      <c r="K259" s="4" t="s">
        <v>203</v>
      </c>
      <c r="L259" t="str">
        <f t="shared" si="28"/>
        <v>PMF6</v>
      </c>
      <c r="M259" s="4" t="str">
        <f t="shared" ref="M259:M322" si="31">C259</f>
        <v>FRIDAY</v>
      </c>
      <c r="N259" s="4" t="str">
        <f t="shared" ref="N259:N322" si="32">D259</f>
        <v>02:00-03:00</v>
      </c>
      <c r="O259" t="str">
        <f t="shared" ref="O259:O322" si="33">H259</f>
        <v>HC209</v>
      </c>
      <c r="P259" t="str">
        <f t="shared" ref="P259:P322" si="34">J259</f>
        <v>Dr. P. Murugan</v>
      </c>
    </row>
    <row r="260" spans="1:16" x14ac:dyDescent="0.3">
      <c r="A260" s="4">
        <v>2</v>
      </c>
      <c r="B260" s="4" t="s">
        <v>159</v>
      </c>
      <c r="C260" s="4" t="s">
        <v>7</v>
      </c>
      <c r="D260" s="4" t="s">
        <v>25</v>
      </c>
      <c r="E260" s="4" t="str">
        <f t="shared" si="29"/>
        <v>F</v>
      </c>
      <c r="F260" s="4">
        <v>7</v>
      </c>
      <c r="G260" s="4" t="str">
        <f t="shared" si="30"/>
        <v>F7</v>
      </c>
      <c r="H260" s="4" t="s">
        <v>24</v>
      </c>
      <c r="I260" t="s">
        <v>48</v>
      </c>
      <c r="J260" t="s">
        <v>49</v>
      </c>
      <c r="K260" s="4" t="s">
        <v>203</v>
      </c>
      <c r="L260" t="str">
        <f t="shared" si="28"/>
        <v>PMF7</v>
      </c>
      <c r="M260" s="4" t="str">
        <f t="shared" si="31"/>
        <v>FRIDAY</v>
      </c>
      <c r="N260" s="4" t="str">
        <f t="shared" si="32"/>
        <v>03:00-04:00</v>
      </c>
      <c r="O260" t="str">
        <f t="shared" si="33"/>
        <v>HC209</v>
      </c>
      <c r="P260" t="str">
        <f t="shared" si="34"/>
        <v>Dr. P. Murugan</v>
      </c>
    </row>
    <row r="261" spans="1:16" x14ac:dyDescent="0.3">
      <c r="A261" s="4">
        <v>2</v>
      </c>
      <c r="B261" s="4" t="s">
        <v>159</v>
      </c>
      <c r="C261" s="4" t="s">
        <v>7</v>
      </c>
      <c r="D261" s="4" t="s">
        <v>26</v>
      </c>
      <c r="E261" s="4" t="str">
        <f t="shared" si="29"/>
        <v>F</v>
      </c>
      <c r="F261" s="4">
        <v>8</v>
      </c>
      <c r="G261" s="4" t="str">
        <f t="shared" si="30"/>
        <v>F8</v>
      </c>
      <c r="H261" s="4" t="s">
        <v>27</v>
      </c>
      <c r="I261" t="s">
        <v>47</v>
      </c>
      <c r="J261" t="s">
        <v>38</v>
      </c>
      <c r="K261" s="4" t="s">
        <v>200</v>
      </c>
      <c r="L261" t="str">
        <f t="shared" si="28"/>
        <v>RKF8</v>
      </c>
      <c r="M261" s="4" t="str">
        <f t="shared" si="31"/>
        <v>FRIDAY</v>
      </c>
      <c r="N261" s="4" t="str">
        <f t="shared" si="32"/>
        <v>04:00-05:00</v>
      </c>
      <c r="O261" t="str">
        <f t="shared" si="33"/>
        <v>HC208</v>
      </c>
      <c r="P261" t="str">
        <f t="shared" si="34"/>
        <v>Dr. Ranjith Kumar Dehury</v>
      </c>
    </row>
    <row r="262" spans="1:16" x14ac:dyDescent="0.3">
      <c r="A262" s="4">
        <v>2</v>
      </c>
      <c r="B262" s="4" t="s">
        <v>159</v>
      </c>
      <c r="C262" s="4" t="s">
        <v>7</v>
      </c>
      <c r="D262" s="4" t="s">
        <v>29</v>
      </c>
      <c r="E262" s="4" t="str">
        <f t="shared" si="29"/>
        <v>F</v>
      </c>
      <c r="F262" s="4">
        <v>9</v>
      </c>
      <c r="G262" s="4" t="str">
        <f t="shared" si="30"/>
        <v>F9</v>
      </c>
      <c r="H262" s="4" t="s">
        <v>27</v>
      </c>
      <c r="I262" t="s">
        <v>47</v>
      </c>
      <c r="J262" t="s">
        <v>38</v>
      </c>
      <c r="K262" s="4" t="s">
        <v>200</v>
      </c>
      <c r="L262" t="str">
        <f t="shared" si="28"/>
        <v>RKF9</v>
      </c>
      <c r="M262" s="4" t="str">
        <f t="shared" si="31"/>
        <v>FRIDAY</v>
      </c>
      <c r="N262" s="4" t="str">
        <f t="shared" si="32"/>
        <v>05:00-06:00</v>
      </c>
      <c r="O262" t="str">
        <f t="shared" si="33"/>
        <v>HC208</v>
      </c>
      <c r="P262" t="str">
        <f t="shared" si="34"/>
        <v>Dr. Ranjith Kumar Dehury</v>
      </c>
    </row>
    <row r="263" spans="1:16" x14ac:dyDescent="0.3">
      <c r="A263" s="4">
        <v>2</v>
      </c>
      <c r="B263" s="4" t="s">
        <v>159</v>
      </c>
      <c r="C263" s="4" t="s">
        <v>8</v>
      </c>
      <c r="D263" s="4" t="s">
        <v>9</v>
      </c>
      <c r="E263" s="4" t="str">
        <f t="shared" si="29"/>
        <v>S</v>
      </c>
      <c r="F263" s="4">
        <v>1</v>
      </c>
      <c r="G263" s="4" t="str">
        <f t="shared" si="30"/>
        <v>S1</v>
      </c>
      <c r="H263" s="4" t="s">
        <v>96</v>
      </c>
      <c r="I263" s="4" t="s">
        <v>95</v>
      </c>
      <c r="J263" s="4" t="s">
        <v>95</v>
      </c>
      <c r="K263" s="4" t="s">
        <v>95</v>
      </c>
      <c r="L263" t="str">
        <f t="shared" si="28"/>
        <v>NAS1</v>
      </c>
      <c r="M263" s="4" t="str">
        <f t="shared" si="31"/>
        <v>SATURDAY</v>
      </c>
      <c r="N263" s="4" t="str">
        <f t="shared" si="32"/>
        <v>09:00-10:00</v>
      </c>
      <c r="O263" t="str">
        <f t="shared" si="33"/>
        <v>LEISURE</v>
      </c>
      <c r="P263" t="str">
        <f t="shared" si="34"/>
        <v>NA</v>
      </c>
    </row>
    <row r="264" spans="1:16" x14ac:dyDescent="0.3">
      <c r="A264" s="4">
        <v>2</v>
      </c>
      <c r="B264" s="4" t="s">
        <v>159</v>
      </c>
      <c r="C264" s="4" t="s">
        <v>8</v>
      </c>
      <c r="D264" s="4" t="s">
        <v>13</v>
      </c>
      <c r="E264" s="4" t="str">
        <f t="shared" si="29"/>
        <v>S</v>
      </c>
      <c r="F264" s="4">
        <v>2</v>
      </c>
      <c r="G264" s="4" t="str">
        <f t="shared" si="30"/>
        <v>S2</v>
      </c>
      <c r="H264" s="4" t="s">
        <v>14</v>
      </c>
      <c r="I264" t="s">
        <v>43</v>
      </c>
      <c r="J264" s="66" t="s">
        <v>214</v>
      </c>
      <c r="K264" s="4" t="s">
        <v>215</v>
      </c>
      <c r="L264" t="str">
        <f t="shared" si="28"/>
        <v>BNS2</v>
      </c>
      <c r="M264" s="4" t="str">
        <f t="shared" si="31"/>
        <v>SATURDAY</v>
      </c>
      <c r="N264" s="4" t="str">
        <f t="shared" si="32"/>
        <v>10:00-11:00</v>
      </c>
      <c r="O264" t="str">
        <f t="shared" si="33"/>
        <v>HC206</v>
      </c>
      <c r="P264" t="str">
        <f t="shared" si="34"/>
        <v>Dr.B.N.V.Parthasarathi</v>
      </c>
    </row>
    <row r="265" spans="1:16" x14ac:dyDescent="0.3">
      <c r="A265" s="4">
        <v>2</v>
      </c>
      <c r="B265" s="4" t="s">
        <v>159</v>
      </c>
      <c r="C265" s="4" t="s">
        <v>8</v>
      </c>
      <c r="D265" s="4" t="s">
        <v>15</v>
      </c>
      <c r="E265" s="4" t="str">
        <f t="shared" si="29"/>
        <v>S</v>
      </c>
      <c r="F265" s="4">
        <v>3</v>
      </c>
      <c r="G265" s="4" t="str">
        <f t="shared" si="30"/>
        <v>S3</v>
      </c>
      <c r="H265" s="4" t="s">
        <v>14</v>
      </c>
      <c r="I265" t="s">
        <v>43</v>
      </c>
      <c r="J265" s="66" t="s">
        <v>214</v>
      </c>
      <c r="K265" s="4" t="s">
        <v>215</v>
      </c>
      <c r="L265" t="str">
        <f t="shared" si="28"/>
        <v>BNS3</v>
      </c>
      <c r="M265" s="4" t="str">
        <f t="shared" si="31"/>
        <v>SATURDAY</v>
      </c>
      <c r="N265" s="4" t="str">
        <f t="shared" si="32"/>
        <v>11:00-12:00</v>
      </c>
      <c r="O265" t="str">
        <f t="shared" si="33"/>
        <v>HC206</v>
      </c>
      <c r="P265" t="str">
        <f t="shared" si="34"/>
        <v>Dr.B.N.V.Parthasarathi</v>
      </c>
    </row>
    <row r="266" spans="1:16" x14ac:dyDescent="0.3">
      <c r="A266" s="4">
        <v>2</v>
      </c>
      <c r="B266" s="4" t="s">
        <v>159</v>
      </c>
      <c r="C266" s="4" t="s">
        <v>8</v>
      </c>
      <c r="D266" s="4" t="s">
        <v>19</v>
      </c>
      <c r="E266" s="4" t="str">
        <f t="shared" si="29"/>
        <v>S</v>
      </c>
      <c r="F266" s="4">
        <v>4</v>
      </c>
      <c r="G266" s="4" t="str">
        <f t="shared" si="30"/>
        <v>S4</v>
      </c>
      <c r="H266" s="4" t="s">
        <v>160</v>
      </c>
      <c r="I266" t="s">
        <v>33</v>
      </c>
      <c r="J266" s="23" t="s">
        <v>115</v>
      </c>
      <c r="K266" s="4" t="s">
        <v>199</v>
      </c>
      <c r="L266" t="str">
        <f t="shared" si="28"/>
        <v>PJS4</v>
      </c>
      <c r="M266" s="4" t="str">
        <f t="shared" si="31"/>
        <v>SATURDAY</v>
      </c>
      <c r="N266" s="4" t="str">
        <f t="shared" si="32"/>
        <v>12:00-01:00</v>
      </c>
      <c r="O266" t="str">
        <f t="shared" si="33"/>
        <v>HC201</v>
      </c>
      <c r="P266" t="str">
        <f t="shared" si="34"/>
        <v>Prof. P. Jyothi</v>
      </c>
    </row>
    <row r="267" spans="1:16" x14ac:dyDescent="0.3">
      <c r="A267" s="4">
        <v>2</v>
      </c>
      <c r="B267" s="4" t="s">
        <v>159</v>
      </c>
      <c r="C267" s="4" t="s">
        <v>8</v>
      </c>
      <c r="D267" s="4" t="s">
        <v>152</v>
      </c>
      <c r="E267" s="4" t="str">
        <f t="shared" si="29"/>
        <v>S</v>
      </c>
      <c r="F267" s="4">
        <v>5</v>
      </c>
      <c r="G267" s="4" t="str">
        <f t="shared" si="30"/>
        <v>S5</v>
      </c>
      <c r="H267" s="4" t="s">
        <v>94</v>
      </c>
      <c r="I267" s="4" t="s">
        <v>95</v>
      </c>
      <c r="J267" s="4" t="s">
        <v>95</v>
      </c>
      <c r="K267" s="4" t="s">
        <v>95</v>
      </c>
      <c r="L267" t="str">
        <f t="shared" si="28"/>
        <v>NAS5</v>
      </c>
      <c r="M267" s="4" t="str">
        <f t="shared" si="31"/>
        <v>SATURDAY</v>
      </c>
      <c r="N267" s="4" t="str">
        <f t="shared" si="32"/>
        <v>01:00-02:00</v>
      </c>
      <c r="O267" t="str">
        <f t="shared" si="33"/>
        <v>LUNCH</v>
      </c>
      <c r="P267" t="str">
        <f t="shared" si="34"/>
        <v>NA</v>
      </c>
    </row>
    <row r="268" spans="1:16" x14ac:dyDescent="0.3">
      <c r="A268" s="4">
        <v>2</v>
      </c>
      <c r="B268" s="4" t="s">
        <v>159</v>
      </c>
      <c r="C268" s="4" t="s">
        <v>8</v>
      </c>
      <c r="D268" s="4" t="s">
        <v>22</v>
      </c>
      <c r="E268" s="4" t="str">
        <f t="shared" si="29"/>
        <v>S</v>
      </c>
      <c r="F268" s="4">
        <v>6</v>
      </c>
      <c r="G268" s="4" t="str">
        <f t="shared" si="30"/>
        <v>S6</v>
      </c>
      <c r="H268" s="4" t="s">
        <v>96</v>
      </c>
      <c r="I268" s="4" t="s">
        <v>95</v>
      </c>
      <c r="J268" s="4" t="s">
        <v>95</v>
      </c>
      <c r="K268" s="4" t="s">
        <v>95</v>
      </c>
      <c r="L268" t="str">
        <f t="shared" si="28"/>
        <v>NAS6</v>
      </c>
      <c r="M268" s="4" t="str">
        <f t="shared" si="31"/>
        <v>SATURDAY</v>
      </c>
      <c r="N268" s="4" t="str">
        <f t="shared" si="32"/>
        <v>02:00-03:00</v>
      </c>
      <c r="O268" t="str">
        <f t="shared" si="33"/>
        <v>LEISURE</v>
      </c>
      <c r="P268" t="str">
        <f t="shared" si="34"/>
        <v>NA</v>
      </c>
    </row>
    <row r="269" spans="1:16" x14ac:dyDescent="0.3">
      <c r="A269" s="4">
        <v>2</v>
      </c>
      <c r="B269" s="4" t="s">
        <v>159</v>
      </c>
      <c r="C269" s="4" t="s">
        <v>8</v>
      </c>
      <c r="D269" s="4" t="s">
        <v>25</v>
      </c>
      <c r="E269" s="4" t="str">
        <f t="shared" si="29"/>
        <v>S</v>
      </c>
      <c r="F269" s="4">
        <v>7</v>
      </c>
      <c r="G269" s="4" t="str">
        <f t="shared" si="30"/>
        <v>S7</v>
      </c>
      <c r="H269" s="4" t="s">
        <v>96</v>
      </c>
      <c r="I269" s="4" t="s">
        <v>95</v>
      </c>
      <c r="J269" s="4" t="s">
        <v>95</v>
      </c>
      <c r="K269" s="4" t="s">
        <v>95</v>
      </c>
      <c r="L269" t="str">
        <f t="shared" si="28"/>
        <v>NAS7</v>
      </c>
      <c r="M269" s="4" t="str">
        <f t="shared" si="31"/>
        <v>SATURDAY</v>
      </c>
      <c r="N269" s="4" t="str">
        <f t="shared" si="32"/>
        <v>03:00-04:00</v>
      </c>
      <c r="O269" t="str">
        <f t="shared" si="33"/>
        <v>LEISURE</v>
      </c>
      <c r="P269" t="str">
        <f t="shared" si="34"/>
        <v>NA</v>
      </c>
    </row>
    <row r="270" spans="1:16" x14ac:dyDescent="0.3">
      <c r="A270" s="4">
        <v>2</v>
      </c>
      <c r="B270" s="4" t="s">
        <v>159</v>
      </c>
      <c r="C270" s="4" t="s">
        <v>8</v>
      </c>
      <c r="D270" s="4" t="s">
        <v>26</v>
      </c>
      <c r="E270" s="4" t="str">
        <f t="shared" si="29"/>
        <v>S</v>
      </c>
      <c r="F270" s="4">
        <v>8</v>
      </c>
      <c r="G270" s="4" t="str">
        <f t="shared" si="30"/>
        <v>S8</v>
      </c>
      <c r="H270" s="4" t="s">
        <v>96</v>
      </c>
      <c r="I270" s="4" t="s">
        <v>95</v>
      </c>
      <c r="J270" s="4" t="s">
        <v>95</v>
      </c>
      <c r="K270" s="4" t="s">
        <v>95</v>
      </c>
      <c r="L270" t="str">
        <f t="shared" si="28"/>
        <v>NAS8</v>
      </c>
      <c r="M270" s="4" t="str">
        <f t="shared" si="31"/>
        <v>SATURDAY</v>
      </c>
      <c r="N270" s="4" t="str">
        <f t="shared" si="32"/>
        <v>04:00-05:00</v>
      </c>
      <c r="O270" t="str">
        <f t="shared" si="33"/>
        <v>LEISURE</v>
      </c>
      <c r="P270" t="str">
        <f t="shared" si="34"/>
        <v>NA</v>
      </c>
    </row>
    <row r="271" spans="1:16" x14ac:dyDescent="0.3">
      <c r="A271" s="4">
        <v>2</v>
      </c>
      <c r="B271" s="4" t="s">
        <v>159</v>
      </c>
      <c r="C271" s="4" t="s">
        <v>8</v>
      </c>
      <c r="D271" s="4" t="s">
        <v>29</v>
      </c>
      <c r="E271" s="4" t="str">
        <f t="shared" si="29"/>
        <v>S</v>
      </c>
      <c r="F271" s="4">
        <v>9</v>
      </c>
      <c r="G271" s="4" t="str">
        <f t="shared" si="30"/>
        <v>S9</v>
      </c>
      <c r="H271" s="4" t="s">
        <v>96</v>
      </c>
      <c r="I271" s="4" t="s">
        <v>95</v>
      </c>
      <c r="J271" s="4" t="s">
        <v>95</v>
      </c>
      <c r="K271" s="4" t="s">
        <v>95</v>
      </c>
      <c r="L271" t="str">
        <f t="shared" si="28"/>
        <v>NAS9</v>
      </c>
      <c r="M271" s="4" t="str">
        <f t="shared" si="31"/>
        <v>SATURDAY</v>
      </c>
      <c r="N271" s="4" t="str">
        <f t="shared" si="32"/>
        <v>05:00-06:00</v>
      </c>
      <c r="O271" t="str">
        <f t="shared" si="33"/>
        <v>LEISURE</v>
      </c>
      <c r="P271" t="str">
        <f t="shared" si="34"/>
        <v>NA</v>
      </c>
    </row>
    <row r="272" spans="1:16" x14ac:dyDescent="0.3">
      <c r="A272" s="4">
        <v>4</v>
      </c>
      <c r="B272" s="4" t="s">
        <v>159</v>
      </c>
      <c r="C272" s="4" t="s">
        <v>3</v>
      </c>
      <c r="D272" s="4" t="s">
        <v>9</v>
      </c>
      <c r="E272" s="4" t="str">
        <f t="shared" si="29"/>
        <v>M</v>
      </c>
      <c r="F272" s="4">
        <v>1</v>
      </c>
      <c r="G272" s="4" t="str">
        <f t="shared" si="30"/>
        <v>M1</v>
      </c>
      <c r="H272" s="4" t="s">
        <v>192</v>
      </c>
      <c r="I272" s="4" t="s">
        <v>192</v>
      </c>
      <c r="J272" s="4" t="s">
        <v>192</v>
      </c>
      <c r="K272" s="4" t="s">
        <v>192</v>
      </c>
      <c r="L272" t="str">
        <f t="shared" si="28"/>
        <v>NAVM1</v>
      </c>
      <c r="M272" s="4" t="str">
        <f t="shared" si="31"/>
        <v>MONDAY</v>
      </c>
      <c r="N272" s="4" t="str">
        <f t="shared" si="32"/>
        <v>09:00-10:00</v>
      </c>
      <c r="O272" t="str">
        <f t="shared" si="33"/>
        <v>NAV</v>
      </c>
      <c r="P272" t="str">
        <f t="shared" si="34"/>
        <v>NAV</v>
      </c>
    </row>
    <row r="273" spans="1:16" x14ac:dyDescent="0.3">
      <c r="A273" s="4">
        <v>4</v>
      </c>
      <c r="B273" s="4" t="s">
        <v>159</v>
      </c>
      <c r="C273" s="4" t="s">
        <v>3</v>
      </c>
      <c r="D273" s="4" t="s">
        <v>13</v>
      </c>
      <c r="E273" s="4" t="str">
        <f t="shared" si="29"/>
        <v>M</v>
      </c>
      <c r="F273" s="4">
        <v>2</v>
      </c>
      <c r="G273" s="4" t="str">
        <f t="shared" si="30"/>
        <v>M2</v>
      </c>
      <c r="H273" s="4" t="s">
        <v>192</v>
      </c>
      <c r="I273" s="4" t="s">
        <v>192</v>
      </c>
      <c r="J273" s="4" t="s">
        <v>192</v>
      </c>
      <c r="K273" s="4" t="s">
        <v>192</v>
      </c>
      <c r="L273" t="str">
        <f t="shared" si="28"/>
        <v>NAVM2</v>
      </c>
      <c r="M273" s="4" t="str">
        <f t="shared" si="31"/>
        <v>MONDAY</v>
      </c>
      <c r="N273" s="4" t="str">
        <f t="shared" si="32"/>
        <v>10:00-11:00</v>
      </c>
      <c r="O273" t="str">
        <f t="shared" si="33"/>
        <v>NAV</v>
      </c>
      <c r="P273" t="str">
        <f t="shared" si="34"/>
        <v>NAV</v>
      </c>
    </row>
    <row r="274" spans="1:16" x14ac:dyDescent="0.3">
      <c r="A274" s="4">
        <v>4</v>
      </c>
      <c r="B274" s="4" t="s">
        <v>159</v>
      </c>
      <c r="C274" s="4" t="s">
        <v>3</v>
      </c>
      <c r="D274" s="4" t="s">
        <v>15</v>
      </c>
      <c r="E274" s="4" t="str">
        <f t="shared" si="29"/>
        <v>M</v>
      </c>
      <c r="F274" s="4">
        <v>3</v>
      </c>
      <c r="G274" s="4" t="str">
        <f t="shared" si="30"/>
        <v>M3</v>
      </c>
      <c r="H274" s="4" t="s">
        <v>192</v>
      </c>
      <c r="I274" s="4" t="s">
        <v>192</v>
      </c>
      <c r="J274" s="4" t="s">
        <v>192</v>
      </c>
      <c r="K274" s="4" t="s">
        <v>192</v>
      </c>
      <c r="L274" t="str">
        <f t="shared" si="28"/>
        <v>NAVM3</v>
      </c>
      <c r="M274" s="4" t="str">
        <f t="shared" si="31"/>
        <v>MONDAY</v>
      </c>
      <c r="N274" s="4" t="str">
        <f t="shared" si="32"/>
        <v>11:00-12:00</v>
      </c>
      <c r="O274" t="str">
        <f t="shared" si="33"/>
        <v>NAV</v>
      </c>
      <c r="P274" t="str">
        <f t="shared" si="34"/>
        <v>NAV</v>
      </c>
    </row>
    <row r="275" spans="1:16" x14ac:dyDescent="0.3">
      <c r="A275" s="4">
        <v>4</v>
      </c>
      <c r="B275" s="4" t="s">
        <v>159</v>
      </c>
      <c r="C275" s="4" t="s">
        <v>3</v>
      </c>
      <c r="D275" s="4" t="s">
        <v>19</v>
      </c>
      <c r="E275" s="4" t="str">
        <f t="shared" si="29"/>
        <v>M</v>
      </c>
      <c r="F275" s="4">
        <v>4</v>
      </c>
      <c r="G275" s="4" t="str">
        <f t="shared" si="30"/>
        <v>M4</v>
      </c>
      <c r="H275" s="4" t="s">
        <v>192</v>
      </c>
      <c r="I275" s="4" t="s">
        <v>192</v>
      </c>
      <c r="J275" s="4" t="s">
        <v>192</v>
      </c>
      <c r="K275" s="4" t="s">
        <v>192</v>
      </c>
      <c r="L275" t="str">
        <f t="shared" si="28"/>
        <v>NAVM4</v>
      </c>
      <c r="M275" s="4" t="str">
        <f t="shared" si="31"/>
        <v>MONDAY</v>
      </c>
      <c r="N275" s="4" t="str">
        <f t="shared" si="32"/>
        <v>12:00-01:00</v>
      </c>
      <c r="O275" t="str">
        <f t="shared" si="33"/>
        <v>NAV</v>
      </c>
      <c r="P275" t="str">
        <f t="shared" si="34"/>
        <v>NAV</v>
      </c>
    </row>
    <row r="276" spans="1:16" x14ac:dyDescent="0.3">
      <c r="A276" s="4">
        <v>4</v>
      </c>
      <c r="B276" s="4" t="s">
        <v>159</v>
      </c>
      <c r="C276" s="4" t="s">
        <v>3</v>
      </c>
      <c r="D276" s="4" t="s">
        <v>152</v>
      </c>
      <c r="E276" s="4" t="str">
        <f t="shared" si="29"/>
        <v>M</v>
      </c>
      <c r="F276" s="4">
        <v>5</v>
      </c>
      <c r="G276" s="4" t="str">
        <f t="shared" si="30"/>
        <v>M5</v>
      </c>
      <c r="H276" s="4" t="s">
        <v>192</v>
      </c>
      <c r="I276" s="4" t="s">
        <v>192</v>
      </c>
      <c r="J276" s="4" t="s">
        <v>192</v>
      </c>
      <c r="K276" s="4" t="s">
        <v>192</v>
      </c>
      <c r="L276" t="str">
        <f t="shared" si="28"/>
        <v>NAVM5</v>
      </c>
      <c r="M276" s="4" t="str">
        <f t="shared" si="31"/>
        <v>MONDAY</v>
      </c>
      <c r="N276" s="4" t="str">
        <f t="shared" si="32"/>
        <v>01:00-02:00</v>
      </c>
      <c r="O276" t="str">
        <f t="shared" si="33"/>
        <v>NAV</v>
      </c>
      <c r="P276" t="str">
        <f t="shared" si="34"/>
        <v>NAV</v>
      </c>
    </row>
    <row r="277" spans="1:16" x14ac:dyDescent="0.3">
      <c r="A277" s="4">
        <v>4</v>
      </c>
      <c r="B277" s="4" t="s">
        <v>159</v>
      </c>
      <c r="C277" s="4" t="s">
        <v>3</v>
      </c>
      <c r="D277" s="4" t="s">
        <v>22</v>
      </c>
      <c r="E277" s="4" t="str">
        <f t="shared" si="29"/>
        <v>M</v>
      </c>
      <c r="F277" s="4">
        <v>6</v>
      </c>
      <c r="G277" s="4" t="str">
        <f t="shared" si="30"/>
        <v>M6</v>
      </c>
      <c r="H277" s="4" t="s">
        <v>192</v>
      </c>
      <c r="I277" s="4" t="s">
        <v>192</v>
      </c>
      <c r="J277" s="4" t="s">
        <v>192</v>
      </c>
      <c r="K277" s="4" t="s">
        <v>192</v>
      </c>
      <c r="L277" t="str">
        <f t="shared" si="28"/>
        <v>NAVM6</v>
      </c>
      <c r="M277" s="4" t="str">
        <f t="shared" si="31"/>
        <v>MONDAY</v>
      </c>
      <c r="N277" s="4" t="str">
        <f t="shared" si="32"/>
        <v>02:00-03:00</v>
      </c>
      <c r="O277" t="str">
        <f t="shared" si="33"/>
        <v>NAV</v>
      </c>
      <c r="P277" t="str">
        <f t="shared" si="34"/>
        <v>NAV</v>
      </c>
    </row>
    <row r="278" spans="1:16" x14ac:dyDescent="0.3">
      <c r="A278" s="4">
        <v>4</v>
      </c>
      <c r="B278" s="4" t="s">
        <v>159</v>
      </c>
      <c r="C278" s="4" t="s">
        <v>3</v>
      </c>
      <c r="D278" s="4" t="s">
        <v>25</v>
      </c>
      <c r="E278" s="4" t="str">
        <f t="shared" si="29"/>
        <v>M</v>
      </c>
      <c r="F278" s="4">
        <v>7</v>
      </c>
      <c r="G278" s="4" t="str">
        <f t="shared" si="30"/>
        <v>M7</v>
      </c>
      <c r="H278" s="4" t="s">
        <v>192</v>
      </c>
      <c r="I278" s="4" t="s">
        <v>192</v>
      </c>
      <c r="J278" s="4" t="s">
        <v>192</v>
      </c>
      <c r="K278" s="4" t="s">
        <v>192</v>
      </c>
      <c r="L278" t="str">
        <f t="shared" si="28"/>
        <v>NAVM7</v>
      </c>
      <c r="M278" s="4" t="str">
        <f t="shared" si="31"/>
        <v>MONDAY</v>
      </c>
      <c r="N278" s="4" t="str">
        <f t="shared" si="32"/>
        <v>03:00-04:00</v>
      </c>
      <c r="O278" t="str">
        <f t="shared" si="33"/>
        <v>NAV</v>
      </c>
      <c r="P278" t="str">
        <f t="shared" si="34"/>
        <v>NAV</v>
      </c>
    </row>
    <row r="279" spans="1:16" x14ac:dyDescent="0.3">
      <c r="A279" s="4">
        <v>4</v>
      </c>
      <c r="B279" s="4" t="s">
        <v>159</v>
      </c>
      <c r="C279" s="4" t="s">
        <v>3</v>
      </c>
      <c r="D279" s="4" t="s">
        <v>26</v>
      </c>
      <c r="E279" s="4" t="str">
        <f t="shared" si="29"/>
        <v>M</v>
      </c>
      <c r="F279" s="4">
        <v>8</v>
      </c>
      <c r="G279" s="4" t="str">
        <f t="shared" si="30"/>
        <v>M8</v>
      </c>
      <c r="H279" s="4" t="s">
        <v>192</v>
      </c>
      <c r="I279" s="4" t="s">
        <v>192</v>
      </c>
      <c r="J279" s="4" t="s">
        <v>192</v>
      </c>
      <c r="K279" s="4" t="s">
        <v>192</v>
      </c>
      <c r="L279" t="str">
        <f t="shared" si="28"/>
        <v>NAVM8</v>
      </c>
      <c r="M279" s="4" t="str">
        <f t="shared" si="31"/>
        <v>MONDAY</v>
      </c>
      <c r="N279" s="4" t="str">
        <f t="shared" si="32"/>
        <v>04:00-05:00</v>
      </c>
      <c r="O279" t="str">
        <f t="shared" si="33"/>
        <v>NAV</v>
      </c>
      <c r="P279" t="str">
        <f t="shared" si="34"/>
        <v>NAV</v>
      </c>
    </row>
    <row r="280" spans="1:16" x14ac:dyDescent="0.3">
      <c r="A280" s="4">
        <v>4</v>
      </c>
      <c r="B280" s="4" t="s">
        <v>159</v>
      </c>
      <c r="C280" s="4" t="s">
        <v>3</v>
      </c>
      <c r="D280" s="4" t="s">
        <v>29</v>
      </c>
      <c r="E280" s="4" t="str">
        <f t="shared" si="29"/>
        <v>M</v>
      </c>
      <c r="F280" s="4">
        <v>9</v>
      </c>
      <c r="G280" s="4" t="str">
        <f t="shared" si="30"/>
        <v>M9</v>
      </c>
      <c r="H280" s="4" t="s">
        <v>192</v>
      </c>
      <c r="I280" s="4" t="s">
        <v>192</v>
      </c>
      <c r="J280" s="4" t="s">
        <v>192</v>
      </c>
      <c r="K280" s="4" t="s">
        <v>192</v>
      </c>
      <c r="L280" t="str">
        <f t="shared" si="28"/>
        <v>NAVM9</v>
      </c>
      <c r="M280" s="4" t="str">
        <f t="shared" si="31"/>
        <v>MONDAY</v>
      </c>
      <c r="N280" s="4" t="str">
        <f t="shared" si="32"/>
        <v>05:00-06:00</v>
      </c>
      <c r="O280" t="str">
        <f t="shared" si="33"/>
        <v>NAV</v>
      </c>
      <c r="P280" t="str">
        <f t="shared" si="34"/>
        <v>NAV</v>
      </c>
    </row>
    <row r="281" spans="1:16" x14ac:dyDescent="0.3">
      <c r="A281" s="4">
        <v>4</v>
      </c>
      <c r="B281" s="4" t="s">
        <v>159</v>
      </c>
      <c r="C281" s="4" t="s">
        <v>4</v>
      </c>
      <c r="D281" s="4" t="s">
        <v>9</v>
      </c>
      <c r="E281" s="4" t="str">
        <f t="shared" si="29"/>
        <v>T</v>
      </c>
      <c r="F281" s="4">
        <v>1</v>
      </c>
      <c r="G281" s="4" t="str">
        <f t="shared" si="30"/>
        <v>T1</v>
      </c>
      <c r="H281" s="4" t="s">
        <v>192</v>
      </c>
      <c r="I281" s="4" t="s">
        <v>192</v>
      </c>
      <c r="J281" s="4" t="s">
        <v>192</v>
      </c>
      <c r="K281" s="4" t="s">
        <v>192</v>
      </c>
      <c r="L281" t="str">
        <f t="shared" si="28"/>
        <v>NAVT1</v>
      </c>
      <c r="M281" s="4" t="str">
        <f t="shared" si="31"/>
        <v>TUESDAY</v>
      </c>
      <c r="N281" s="4" t="str">
        <f t="shared" si="32"/>
        <v>09:00-10:00</v>
      </c>
      <c r="O281" t="str">
        <f t="shared" si="33"/>
        <v>NAV</v>
      </c>
      <c r="P281" t="str">
        <f t="shared" si="34"/>
        <v>NAV</v>
      </c>
    </row>
    <row r="282" spans="1:16" x14ac:dyDescent="0.3">
      <c r="A282" s="4">
        <v>4</v>
      </c>
      <c r="B282" s="4" t="s">
        <v>159</v>
      </c>
      <c r="C282" s="4" t="s">
        <v>4</v>
      </c>
      <c r="D282" s="4" t="s">
        <v>13</v>
      </c>
      <c r="E282" s="4" t="str">
        <f t="shared" si="29"/>
        <v>T</v>
      </c>
      <c r="F282" s="4">
        <v>2</v>
      </c>
      <c r="G282" s="4" t="str">
        <f t="shared" si="30"/>
        <v>T2</v>
      </c>
      <c r="H282" s="4" t="s">
        <v>192</v>
      </c>
      <c r="I282" s="4" t="s">
        <v>192</v>
      </c>
      <c r="J282" s="4" t="s">
        <v>192</v>
      </c>
      <c r="K282" s="4" t="s">
        <v>192</v>
      </c>
      <c r="L282" t="str">
        <f t="shared" si="28"/>
        <v>NAVT2</v>
      </c>
      <c r="M282" s="4" t="str">
        <f t="shared" si="31"/>
        <v>TUESDAY</v>
      </c>
      <c r="N282" s="4" t="str">
        <f t="shared" si="32"/>
        <v>10:00-11:00</v>
      </c>
      <c r="O282" t="str">
        <f t="shared" si="33"/>
        <v>NAV</v>
      </c>
      <c r="P282" t="str">
        <f t="shared" si="34"/>
        <v>NAV</v>
      </c>
    </row>
    <row r="283" spans="1:16" x14ac:dyDescent="0.3">
      <c r="A283" s="4">
        <v>4</v>
      </c>
      <c r="B283" s="4" t="s">
        <v>159</v>
      </c>
      <c r="C283" s="4" t="s">
        <v>4</v>
      </c>
      <c r="D283" s="4" t="s">
        <v>15</v>
      </c>
      <c r="E283" s="4" t="str">
        <f t="shared" si="29"/>
        <v>T</v>
      </c>
      <c r="F283" s="4">
        <v>3</v>
      </c>
      <c r="G283" s="4" t="str">
        <f t="shared" si="30"/>
        <v>T3</v>
      </c>
      <c r="H283" s="4" t="s">
        <v>192</v>
      </c>
      <c r="I283" s="4" t="s">
        <v>192</v>
      </c>
      <c r="J283" s="4" t="s">
        <v>192</v>
      </c>
      <c r="K283" s="4" t="s">
        <v>192</v>
      </c>
      <c r="L283" t="str">
        <f t="shared" si="28"/>
        <v>NAVT3</v>
      </c>
      <c r="M283" s="4" t="str">
        <f t="shared" si="31"/>
        <v>TUESDAY</v>
      </c>
      <c r="N283" s="4" t="str">
        <f t="shared" si="32"/>
        <v>11:00-12:00</v>
      </c>
      <c r="O283" t="str">
        <f t="shared" si="33"/>
        <v>NAV</v>
      </c>
      <c r="P283" t="str">
        <f t="shared" si="34"/>
        <v>NAV</v>
      </c>
    </row>
    <row r="284" spans="1:16" x14ac:dyDescent="0.3">
      <c r="A284" s="4">
        <v>4</v>
      </c>
      <c r="B284" s="4" t="s">
        <v>159</v>
      </c>
      <c r="C284" s="4" t="s">
        <v>4</v>
      </c>
      <c r="D284" s="4" t="s">
        <v>19</v>
      </c>
      <c r="E284" s="4" t="str">
        <f t="shared" si="29"/>
        <v>T</v>
      </c>
      <c r="F284" s="4">
        <v>4</v>
      </c>
      <c r="G284" s="4" t="str">
        <f t="shared" si="30"/>
        <v>T4</v>
      </c>
      <c r="H284" s="4" t="s">
        <v>192</v>
      </c>
      <c r="I284" s="4" t="s">
        <v>192</v>
      </c>
      <c r="J284" s="4" t="s">
        <v>192</v>
      </c>
      <c r="K284" s="4" t="s">
        <v>192</v>
      </c>
      <c r="L284" t="str">
        <f t="shared" si="28"/>
        <v>NAVT4</v>
      </c>
      <c r="M284" s="4" t="str">
        <f t="shared" si="31"/>
        <v>TUESDAY</v>
      </c>
      <c r="N284" s="4" t="str">
        <f t="shared" si="32"/>
        <v>12:00-01:00</v>
      </c>
      <c r="O284" t="str">
        <f t="shared" si="33"/>
        <v>NAV</v>
      </c>
      <c r="P284" t="str">
        <f t="shared" si="34"/>
        <v>NAV</v>
      </c>
    </row>
    <row r="285" spans="1:16" x14ac:dyDescent="0.3">
      <c r="A285" s="4">
        <v>4</v>
      </c>
      <c r="B285" s="4" t="s">
        <v>159</v>
      </c>
      <c r="C285" s="4" t="s">
        <v>4</v>
      </c>
      <c r="D285" s="4" t="s">
        <v>152</v>
      </c>
      <c r="E285" s="4" t="str">
        <f t="shared" si="29"/>
        <v>T</v>
      </c>
      <c r="F285" s="4">
        <v>5</v>
      </c>
      <c r="G285" s="4" t="str">
        <f t="shared" si="30"/>
        <v>T5</v>
      </c>
      <c r="H285" s="4" t="s">
        <v>192</v>
      </c>
      <c r="I285" s="4" t="s">
        <v>192</v>
      </c>
      <c r="J285" s="4" t="s">
        <v>192</v>
      </c>
      <c r="K285" s="4" t="s">
        <v>192</v>
      </c>
      <c r="L285" t="str">
        <f t="shared" si="28"/>
        <v>NAVT5</v>
      </c>
      <c r="M285" s="4" t="str">
        <f t="shared" si="31"/>
        <v>TUESDAY</v>
      </c>
      <c r="N285" s="4" t="str">
        <f t="shared" si="32"/>
        <v>01:00-02:00</v>
      </c>
      <c r="O285" t="str">
        <f t="shared" si="33"/>
        <v>NAV</v>
      </c>
      <c r="P285" t="str">
        <f t="shared" si="34"/>
        <v>NAV</v>
      </c>
    </row>
    <row r="286" spans="1:16" x14ac:dyDescent="0.3">
      <c r="A286" s="4">
        <v>4</v>
      </c>
      <c r="B286" s="4" t="s">
        <v>159</v>
      </c>
      <c r="C286" s="4" t="s">
        <v>4</v>
      </c>
      <c r="D286" s="4" t="s">
        <v>22</v>
      </c>
      <c r="E286" s="4" t="str">
        <f t="shared" si="29"/>
        <v>T</v>
      </c>
      <c r="F286" s="4">
        <v>6</v>
      </c>
      <c r="G286" s="4" t="str">
        <f t="shared" si="30"/>
        <v>T6</v>
      </c>
      <c r="H286" s="4" t="s">
        <v>192</v>
      </c>
      <c r="I286" s="4" t="s">
        <v>192</v>
      </c>
      <c r="J286" s="4" t="s">
        <v>192</v>
      </c>
      <c r="K286" s="4" t="s">
        <v>192</v>
      </c>
      <c r="L286" t="str">
        <f t="shared" si="28"/>
        <v>NAVT6</v>
      </c>
      <c r="M286" s="4" t="str">
        <f t="shared" si="31"/>
        <v>TUESDAY</v>
      </c>
      <c r="N286" s="4" t="str">
        <f t="shared" si="32"/>
        <v>02:00-03:00</v>
      </c>
      <c r="O286" t="str">
        <f t="shared" si="33"/>
        <v>NAV</v>
      </c>
      <c r="P286" t="str">
        <f t="shared" si="34"/>
        <v>NAV</v>
      </c>
    </row>
    <row r="287" spans="1:16" x14ac:dyDescent="0.3">
      <c r="A287" s="4">
        <v>4</v>
      </c>
      <c r="B287" s="4" t="s">
        <v>159</v>
      </c>
      <c r="C287" s="4" t="s">
        <v>4</v>
      </c>
      <c r="D287" s="4" t="s">
        <v>25</v>
      </c>
      <c r="E287" s="4" t="str">
        <f t="shared" si="29"/>
        <v>T</v>
      </c>
      <c r="F287" s="4">
        <v>7</v>
      </c>
      <c r="G287" s="4" t="str">
        <f t="shared" si="30"/>
        <v>T7</v>
      </c>
      <c r="H287" s="4" t="s">
        <v>192</v>
      </c>
      <c r="I287" s="4" t="s">
        <v>192</v>
      </c>
      <c r="J287" s="4" t="s">
        <v>192</v>
      </c>
      <c r="K287" s="4" t="s">
        <v>192</v>
      </c>
      <c r="L287" t="str">
        <f t="shared" si="28"/>
        <v>NAVT7</v>
      </c>
      <c r="M287" s="4" t="str">
        <f t="shared" si="31"/>
        <v>TUESDAY</v>
      </c>
      <c r="N287" s="4" t="str">
        <f t="shared" si="32"/>
        <v>03:00-04:00</v>
      </c>
      <c r="O287" t="str">
        <f t="shared" si="33"/>
        <v>NAV</v>
      </c>
      <c r="P287" t="str">
        <f t="shared" si="34"/>
        <v>NAV</v>
      </c>
    </row>
    <row r="288" spans="1:16" x14ac:dyDescent="0.3">
      <c r="A288" s="4">
        <v>4</v>
      </c>
      <c r="B288" s="4" t="s">
        <v>159</v>
      </c>
      <c r="C288" s="4" t="s">
        <v>4</v>
      </c>
      <c r="D288" s="4" t="s">
        <v>26</v>
      </c>
      <c r="E288" s="4" t="str">
        <f t="shared" si="29"/>
        <v>T</v>
      </c>
      <c r="F288" s="4">
        <v>8</v>
      </c>
      <c r="G288" s="4" t="str">
        <f t="shared" si="30"/>
        <v>T8</v>
      </c>
      <c r="H288" s="4" t="s">
        <v>192</v>
      </c>
      <c r="I288" s="4" t="s">
        <v>192</v>
      </c>
      <c r="J288" s="4" t="s">
        <v>192</v>
      </c>
      <c r="K288" s="4" t="s">
        <v>192</v>
      </c>
      <c r="L288" t="str">
        <f t="shared" si="28"/>
        <v>NAVT8</v>
      </c>
      <c r="M288" s="4" t="str">
        <f t="shared" si="31"/>
        <v>TUESDAY</v>
      </c>
      <c r="N288" s="4" t="str">
        <f t="shared" si="32"/>
        <v>04:00-05:00</v>
      </c>
      <c r="O288" t="str">
        <f t="shared" si="33"/>
        <v>NAV</v>
      </c>
      <c r="P288" t="str">
        <f t="shared" si="34"/>
        <v>NAV</v>
      </c>
    </row>
    <row r="289" spans="1:16" x14ac:dyDescent="0.3">
      <c r="A289" s="4">
        <v>4</v>
      </c>
      <c r="B289" s="4" t="s">
        <v>159</v>
      </c>
      <c r="C289" s="4" t="s">
        <v>4</v>
      </c>
      <c r="D289" s="4" t="s">
        <v>29</v>
      </c>
      <c r="E289" s="4" t="str">
        <f t="shared" si="29"/>
        <v>T</v>
      </c>
      <c r="F289" s="4">
        <v>9</v>
      </c>
      <c r="G289" s="4" t="str">
        <f t="shared" si="30"/>
        <v>T9</v>
      </c>
      <c r="H289" s="4" t="s">
        <v>192</v>
      </c>
      <c r="I289" s="4" t="s">
        <v>192</v>
      </c>
      <c r="J289" s="4" t="s">
        <v>192</v>
      </c>
      <c r="K289" s="4" t="s">
        <v>192</v>
      </c>
      <c r="L289" t="str">
        <f t="shared" si="28"/>
        <v>NAVT9</v>
      </c>
      <c r="M289" s="4" t="str">
        <f t="shared" si="31"/>
        <v>TUESDAY</v>
      </c>
      <c r="N289" s="4" t="str">
        <f t="shared" si="32"/>
        <v>05:00-06:00</v>
      </c>
      <c r="O289" t="str">
        <f t="shared" si="33"/>
        <v>NAV</v>
      </c>
      <c r="P289" t="str">
        <f t="shared" si="34"/>
        <v>NAV</v>
      </c>
    </row>
    <row r="290" spans="1:16" x14ac:dyDescent="0.3">
      <c r="A290" s="4">
        <v>4</v>
      </c>
      <c r="B290" s="4" t="s">
        <v>159</v>
      </c>
      <c r="C290" s="4" t="s">
        <v>5</v>
      </c>
      <c r="D290" s="4" t="s">
        <v>9</v>
      </c>
      <c r="E290" s="4" t="str">
        <f t="shared" si="29"/>
        <v>W</v>
      </c>
      <c r="F290" s="4">
        <v>1</v>
      </c>
      <c r="G290" s="4" t="str">
        <f t="shared" si="30"/>
        <v>W1</v>
      </c>
      <c r="H290" s="4" t="s">
        <v>192</v>
      </c>
      <c r="I290" s="4" t="s">
        <v>192</v>
      </c>
      <c r="J290" s="4" t="s">
        <v>192</v>
      </c>
      <c r="K290" s="4" t="s">
        <v>192</v>
      </c>
      <c r="L290" t="str">
        <f t="shared" si="28"/>
        <v>NAVW1</v>
      </c>
      <c r="M290" s="4" t="str">
        <f t="shared" si="31"/>
        <v>WEDNESDAY</v>
      </c>
      <c r="N290" s="4" t="str">
        <f t="shared" si="32"/>
        <v>09:00-10:00</v>
      </c>
      <c r="O290" t="str">
        <f t="shared" si="33"/>
        <v>NAV</v>
      </c>
      <c r="P290" t="str">
        <f t="shared" si="34"/>
        <v>NAV</v>
      </c>
    </row>
    <row r="291" spans="1:16" x14ac:dyDescent="0.3">
      <c r="A291" s="4">
        <v>4</v>
      </c>
      <c r="B291" s="4" t="s">
        <v>159</v>
      </c>
      <c r="C291" s="4" t="s">
        <v>5</v>
      </c>
      <c r="D291" s="4" t="s">
        <v>13</v>
      </c>
      <c r="E291" s="4" t="str">
        <f t="shared" si="29"/>
        <v>W</v>
      </c>
      <c r="F291" s="4">
        <v>2</v>
      </c>
      <c r="G291" s="4" t="str">
        <f t="shared" si="30"/>
        <v>W2</v>
      </c>
      <c r="H291" s="4" t="s">
        <v>192</v>
      </c>
      <c r="I291" s="4" t="s">
        <v>192</v>
      </c>
      <c r="J291" s="4" t="s">
        <v>192</v>
      </c>
      <c r="K291" s="4" t="s">
        <v>192</v>
      </c>
      <c r="L291" t="str">
        <f t="shared" si="28"/>
        <v>NAVW2</v>
      </c>
      <c r="M291" s="4" t="str">
        <f t="shared" si="31"/>
        <v>WEDNESDAY</v>
      </c>
      <c r="N291" s="4" t="str">
        <f t="shared" si="32"/>
        <v>10:00-11:00</v>
      </c>
      <c r="O291" t="str">
        <f t="shared" si="33"/>
        <v>NAV</v>
      </c>
      <c r="P291" t="str">
        <f t="shared" si="34"/>
        <v>NAV</v>
      </c>
    </row>
    <row r="292" spans="1:16" x14ac:dyDescent="0.3">
      <c r="A292" s="4">
        <v>4</v>
      </c>
      <c r="B292" s="4" t="s">
        <v>159</v>
      </c>
      <c r="C292" s="4" t="s">
        <v>5</v>
      </c>
      <c r="D292" s="4" t="s">
        <v>15</v>
      </c>
      <c r="E292" s="4" t="str">
        <f t="shared" si="29"/>
        <v>W</v>
      </c>
      <c r="F292" s="4">
        <v>3</v>
      </c>
      <c r="G292" s="4" t="str">
        <f t="shared" si="30"/>
        <v>W3</v>
      </c>
      <c r="H292" s="4" t="s">
        <v>192</v>
      </c>
      <c r="I292" s="4" t="s">
        <v>192</v>
      </c>
      <c r="J292" s="4" t="s">
        <v>192</v>
      </c>
      <c r="K292" s="4" t="s">
        <v>192</v>
      </c>
      <c r="L292" t="str">
        <f t="shared" si="28"/>
        <v>NAVW3</v>
      </c>
      <c r="M292" s="4" t="str">
        <f t="shared" si="31"/>
        <v>WEDNESDAY</v>
      </c>
      <c r="N292" s="4" t="str">
        <f t="shared" si="32"/>
        <v>11:00-12:00</v>
      </c>
      <c r="O292" t="str">
        <f t="shared" si="33"/>
        <v>NAV</v>
      </c>
      <c r="P292" t="str">
        <f t="shared" si="34"/>
        <v>NAV</v>
      </c>
    </row>
    <row r="293" spans="1:16" x14ac:dyDescent="0.3">
      <c r="A293" s="4">
        <v>4</v>
      </c>
      <c r="B293" s="4" t="s">
        <v>159</v>
      </c>
      <c r="C293" s="4" t="s">
        <v>5</v>
      </c>
      <c r="D293" s="4" t="s">
        <v>19</v>
      </c>
      <c r="E293" s="4" t="str">
        <f t="shared" si="29"/>
        <v>W</v>
      </c>
      <c r="F293" s="4">
        <v>4</v>
      </c>
      <c r="G293" s="4" t="str">
        <f t="shared" si="30"/>
        <v>W4</v>
      </c>
      <c r="H293" s="4" t="s">
        <v>192</v>
      </c>
      <c r="I293" s="4" t="s">
        <v>192</v>
      </c>
      <c r="J293" s="4" t="s">
        <v>192</v>
      </c>
      <c r="K293" s="4" t="s">
        <v>192</v>
      </c>
      <c r="L293" t="str">
        <f t="shared" si="28"/>
        <v>NAVW4</v>
      </c>
      <c r="M293" s="4" t="str">
        <f t="shared" si="31"/>
        <v>WEDNESDAY</v>
      </c>
      <c r="N293" s="4" t="str">
        <f t="shared" si="32"/>
        <v>12:00-01:00</v>
      </c>
      <c r="O293" t="str">
        <f t="shared" si="33"/>
        <v>NAV</v>
      </c>
      <c r="P293" t="str">
        <f t="shared" si="34"/>
        <v>NAV</v>
      </c>
    </row>
    <row r="294" spans="1:16" x14ac:dyDescent="0.3">
      <c r="A294" s="4">
        <v>4</v>
      </c>
      <c r="B294" s="4" t="s">
        <v>159</v>
      </c>
      <c r="C294" s="4" t="s">
        <v>5</v>
      </c>
      <c r="D294" s="4" t="s">
        <v>152</v>
      </c>
      <c r="E294" s="4" t="str">
        <f t="shared" si="29"/>
        <v>W</v>
      </c>
      <c r="F294" s="4">
        <v>5</v>
      </c>
      <c r="G294" s="4" t="str">
        <f t="shared" si="30"/>
        <v>W5</v>
      </c>
      <c r="H294" s="4" t="s">
        <v>192</v>
      </c>
      <c r="I294" s="4" t="s">
        <v>192</v>
      </c>
      <c r="J294" s="4" t="s">
        <v>192</v>
      </c>
      <c r="K294" s="4" t="s">
        <v>192</v>
      </c>
      <c r="L294" t="str">
        <f t="shared" si="28"/>
        <v>NAVW5</v>
      </c>
      <c r="M294" s="4" t="str">
        <f t="shared" si="31"/>
        <v>WEDNESDAY</v>
      </c>
      <c r="N294" s="4" t="str">
        <f t="shared" si="32"/>
        <v>01:00-02:00</v>
      </c>
      <c r="O294" t="str">
        <f t="shared" si="33"/>
        <v>NAV</v>
      </c>
      <c r="P294" t="str">
        <f t="shared" si="34"/>
        <v>NAV</v>
      </c>
    </row>
    <row r="295" spans="1:16" x14ac:dyDescent="0.3">
      <c r="A295" s="4">
        <v>4</v>
      </c>
      <c r="B295" s="4" t="s">
        <v>159</v>
      </c>
      <c r="C295" s="4" t="s">
        <v>5</v>
      </c>
      <c r="D295" s="4" t="s">
        <v>22</v>
      </c>
      <c r="E295" s="4" t="str">
        <f t="shared" si="29"/>
        <v>W</v>
      </c>
      <c r="F295" s="4">
        <v>6</v>
      </c>
      <c r="G295" s="4" t="str">
        <f t="shared" si="30"/>
        <v>W6</v>
      </c>
      <c r="H295" s="4" t="s">
        <v>192</v>
      </c>
      <c r="I295" s="4" t="s">
        <v>192</v>
      </c>
      <c r="J295" s="4" t="s">
        <v>192</v>
      </c>
      <c r="K295" s="4" t="s">
        <v>192</v>
      </c>
      <c r="L295" t="str">
        <f t="shared" si="28"/>
        <v>NAVW6</v>
      </c>
      <c r="M295" s="4" t="str">
        <f t="shared" si="31"/>
        <v>WEDNESDAY</v>
      </c>
      <c r="N295" s="4" t="str">
        <f t="shared" si="32"/>
        <v>02:00-03:00</v>
      </c>
      <c r="O295" t="str">
        <f t="shared" si="33"/>
        <v>NAV</v>
      </c>
      <c r="P295" t="str">
        <f t="shared" si="34"/>
        <v>NAV</v>
      </c>
    </row>
    <row r="296" spans="1:16" x14ac:dyDescent="0.3">
      <c r="A296" s="4">
        <v>4</v>
      </c>
      <c r="B296" s="4" t="s">
        <v>159</v>
      </c>
      <c r="C296" s="4" t="s">
        <v>5</v>
      </c>
      <c r="D296" s="4" t="s">
        <v>25</v>
      </c>
      <c r="E296" s="4" t="str">
        <f t="shared" si="29"/>
        <v>W</v>
      </c>
      <c r="F296" s="4">
        <v>7</v>
      </c>
      <c r="G296" s="4" t="str">
        <f t="shared" si="30"/>
        <v>W7</v>
      </c>
      <c r="H296" s="4" t="s">
        <v>192</v>
      </c>
      <c r="I296" s="4" t="s">
        <v>192</v>
      </c>
      <c r="J296" s="4" t="s">
        <v>192</v>
      </c>
      <c r="K296" s="4" t="s">
        <v>192</v>
      </c>
      <c r="L296" t="str">
        <f t="shared" si="28"/>
        <v>NAVW7</v>
      </c>
      <c r="M296" s="4" t="str">
        <f t="shared" si="31"/>
        <v>WEDNESDAY</v>
      </c>
      <c r="N296" s="4" t="str">
        <f t="shared" si="32"/>
        <v>03:00-04:00</v>
      </c>
      <c r="O296" t="str">
        <f t="shared" si="33"/>
        <v>NAV</v>
      </c>
      <c r="P296" t="str">
        <f t="shared" si="34"/>
        <v>NAV</v>
      </c>
    </row>
    <row r="297" spans="1:16" x14ac:dyDescent="0.3">
      <c r="A297" s="4">
        <v>4</v>
      </c>
      <c r="B297" s="4" t="s">
        <v>159</v>
      </c>
      <c r="C297" s="4" t="s">
        <v>5</v>
      </c>
      <c r="D297" s="4" t="s">
        <v>26</v>
      </c>
      <c r="E297" s="4" t="str">
        <f t="shared" si="29"/>
        <v>W</v>
      </c>
      <c r="F297" s="4">
        <v>8</v>
      </c>
      <c r="G297" s="4" t="str">
        <f t="shared" si="30"/>
        <v>W8</v>
      </c>
      <c r="H297" s="4" t="s">
        <v>192</v>
      </c>
      <c r="I297" s="4" t="s">
        <v>192</v>
      </c>
      <c r="J297" s="4" t="s">
        <v>192</v>
      </c>
      <c r="K297" s="4" t="s">
        <v>192</v>
      </c>
      <c r="L297" t="str">
        <f t="shared" si="28"/>
        <v>NAVW8</v>
      </c>
      <c r="M297" s="4" t="str">
        <f t="shared" si="31"/>
        <v>WEDNESDAY</v>
      </c>
      <c r="N297" s="4" t="str">
        <f t="shared" si="32"/>
        <v>04:00-05:00</v>
      </c>
      <c r="O297" t="str">
        <f t="shared" si="33"/>
        <v>NAV</v>
      </c>
      <c r="P297" t="str">
        <f t="shared" si="34"/>
        <v>NAV</v>
      </c>
    </row>
    <row r="298" spans="1:16" x14ac:dyDescent="0.3">
      <c r="A298" s="4">
        <v>4</v>
      </c>
      <c r="B298" s="4" t="s">
        <v>159</v>
      </c>
      <c r="C298" s="4" t="s">
        <v>5</v>
      </c>
      <c r="D298" s="4" t="s">
        <v>29</v>
      </c>
      <c r="E298" s="4" t="str">
        <f t="shared" si="29"/>
        <v>W</v>
      </c>
      <c r="F298" s="4">
        <v>9</v>
      </c>
      <c r="G298" s="4" t="str">
        <f t="shared" si="30"/>
        <v>W9</v>
      </c>
      <c r="H298" s="4" t="s">
        <v>192</v>
      </c>
      <c r="I298" s="4" t="s">
        <v>192</v>
      </c>
      <c r="J298" s="4" t="s">
        <v>192</v>
      </c>
      <c r="K298" s="4" t="s">
        <v>192</v>
      </c>
      <c r="L298" t="str">
        <f t="shared" si="28"/>
        <v>NAVW9</v>
      </c>
      <c r="M298" s="4" t="str">
        <f t="shared" si="31"/>
        <v>WEDNESDAY</v>
      </c>
      <c r="N298" s="4" t="str">
        <f t="shared" si="32"/>
        <v>05:00-06:00</v>
      </c>
      <c r="O298" t="str">
        <f t="shared" si="33"/>
        <v>NAV</v>
      </c>
      <c r="P298" t="str">
        <f t="shared" si="34"/>
        <v>NAV</v>
      </c>
    </row>
    <row r="299" spans="1:16" x14ac:dyDescent="0.3">
      <c r="A299" s="4">
        <v>4</v>
      </c>
      <c r="B299" s="4" t="s">
        <v>159</v>
      </c>
      <c r="C299" s="4" t="s">
        <v>6</v>
      </c>
      <c r="D299" s="4" t="s">
        <v>9</v>
      </c>
      <c r="E299" s="4" t="str">
        <f t="shared" si="29"/>
        <v>TH</v>
      </c>
      <c r="F299" s="4">
        <v>1</v>
      </c>
      <c r="G299" s="4" t="str">
        <f t="shared" si="30"/>
        <v>TH1</v>
      </c>
      <c r="H299" s="4" t="s">
        <v>192</v>
      </c>
      <c r="I299" s="4" t="s">
        <v>192</v>
      </c>
      <c r="J299" s="4" t="s">
        <v>192</v>
      </c>
      <c r="K299" s="4" t="s">
        <v>192</v>
      </c>
      <c r="L299" t="str">
        <f t="shared" si="28"/>
        <v>NAVTH1</v>
      </c>
      <c r="M299" s="4" t="str">
        <f t="shared" si="31"/>
        <v>THURSDAY</v>
      </c>
      <c r="N299" s="4" t="str">
        <f t="shared" si="32"/>
        <v>09:00-10:00</v>
      </c>
      <c r="O299" t="str">
        <f t="shared" si="33"/>
        <v>NAV</v>
      </c>
      <c r="P299" t="str">
        <f t="shared" si="34"/>
        <v>NAV</v>
      </c>
    </row>
    <row r="300" spans="1:16" x14ac:dyDescent="0.3">
      <c r="A300" s="4">
        <v>4</v>
      </c>
      <c r="B300" s="4" t="s">
        <v>159</v>
      </c>
      <c r="C300" s="4" t="s">
        <v>6</v>
      </c>
      <c r="D300" s="4" t="s">
        <v>13</v>
      </c>
      <c r="E300" s="4" t="str">
        <f t="shared" si="29"/>
        <v>TH</v>
      </c>
      <c r="F300" s="4">
        <v>2</v>
      </c>
      <c r="G300" s="4" t="str">
        <f t="shared" si="30"/>
        <v>TH2</v>
      </c>
      <c r="H300" s="4" t="s">
        <v>192</v>
      </c>
      <c r="I300" s="4" t="s">
        <v>192</v>
      </c>
      <c r="J300" s="4" t="s">
        <v>192</v>
      </c>
      <c r="K300" s="4" t="s">
        <v>192</v>
      </c>
      <c r="L300" t="str">
        <f t="shared" si="28"/>
        <v>NAVTH2</v>
      </c>
      <c r="M300" s="4" t="str">
        <f t="shared" si="31"/>
        <v>THURSDAY</v>
      </c>
      <c r="N300" s="4" t="str">
        <f t="shared" si="32"/>
        <v>10:00-11:00</v>
      </c>
      <c r="O300" t="str">
        <f t="shared" si="33"/>
        <v>NAV</v>
      </c>
      <c r="P300" t="str">
        <f t="shared" si="34"/>
        <v>NAV</v>
      </c>
    </row>
    <row r="301" spans="1:16" x14ac:dyDescent="0.3">
      <c r="A301" s="4">
        <v>4</v>
      </c>
      <c r="B301" s="4" t="s">
        <v>159</v>
      </c>
      <c r="C301" s="4" t="s">
        <v>6</v>
      </c>
      <c r="D301" s="4" t="s">
        <v>15</v>
      </c>
      <c r="E301" s="4" t="str">
        <f t="shared" si="29"/>
        <v>TH</v>
      </c>
      <c r="F301" s="4">
        <v>3</v>
      </c>
      <c r="G301" s="4" t="str">
        <f t="shared" si="30"/>
        <v>TH3</v>
      </c>
      <c r="H301" s="4" t="s">
        <v>192</v>
      </c>
      <c r="I301" s="4" t="s">
        <v>192</v>
      </c>
      <c r="J301" s="4" t="s">
        <v>192</v>
      </c>
      <c r="K301" s="4" t="s">
        <v>192</v>
      </c>
      <c r="L301" t="str">
        <f t="shared" si="28"/>
        <v>NAVTH3</v>
      </c>
      <c r="M301" s="4" t="str">
        <f t="shared" si="31"/>
        <v>THURSDAY</v>
      </c>
      <c r="N301" s="4" t="str">
        <f t="shared" si="32"/>
        <v>11:00-12:00</v>
      </c>
      <c r="O301" t="str">
        <f t="shared" si="33"/>
        <v>NAV</v>
      </c>
      <c r="P301" t="str">
        <f t="shared" si="34"/>
        <v>NAV</v>
      </c>
    </row>
    <row r="302" spans="1:16" x14ac:dyDescent="0.3">
      <c r="A302" s="4">
        <v>4</v>
      </c>
      <c r="B302" s="4" t="s">
        <v>159</v>
      </c>
      <c r="C302" s="4" t="s">
        <v>6</v>
      </c>
      <c r="D302" s="4" t="s">
        <v>19</v>
      </c>
      <c r="E302" s="4" t="str">
        <f t="shared" si="29"/>
        <v>TH</v>
      </c>
      <c r="F302" s="4">
        <v>4</v>
      </c>
      <c r="G302" s="4" t="str">
        <f t="shared" si="30"/>
        <v>TH4</v>
      </c>
      <c r="H302" s="4" t="s">
        <v>192</v>
      </c>
      <c r="I302" s="4" t="s">
        <v>192</v>
      </c>
      <c r="J302" s="4" t="s">
        <v>192</v>
      </c>
      <c r="K302" s="4" t="s">
        <v>192</v>
      </c>
      <c r="L302" t="str">
        <f t="shared" si="28"/>
        <v>NAVTH4</v>
      </c>
      <c r="M302" s="4" t="str">
        <f t="shared" si="31"/>
        <v>THURSDAY</v>
      </c>
      <c r="N302" s="4" t="str">
        <f t="shared" si="32"/>
        <v>12:00-01:00</v>
      </c>
      <c r="O302" t="str">
        <f t="shared" si="33"/>
        <v>NAV</v>
      </c>
      <c r="P302" t="str">
        <f t="shared" si="34"/>
        <v>NAV</v>
      </c>
    </row>
    <row r="303" spans="1:16" x14ac:dyDescent="0.3">
      <c r="A303" s="4">
        <v>4</v>
      </c>
      <c r="B303" s="4" t="s">
        <v>159</v>
      </c>
      <c r="C303" s="4" t="s">
        <v>6</v>
      </c>
      <c r="D303" s="4" t="s">
        <v>152</v>
      </c>
      <c r="E303" s="4" t="str">
        <f t="shared" si="29"/>
        <v>TH</v>
      </c>
      <c r="F303" s="4">
        <v>5</v>
      </c>
      <c r="G303" s="4" t="str">
        <f t="shared" si="30"/>
        <v>TH5</v>
      </c>
      <c r="H303" s="4" t="s">
        <v>192</v>
      </c>
      <c r="I303" s="4" t="s">
        <v>192</v>
      </c>
      <c r="J303" s="4" t="s">
        <v>192</v>
      </c>
      <c r="K303" s="4" t="s">
        <v>192</v>
      </c>
      <c r="L303" t="str">
        <f t="shared" si="28"/>
        <v>NAVTH5</v>
      </c>
      <c r="M303" s="4" t="str">
        <f t="shared" si="31"/>
        <v>THURSDAY</v>
      </c>
      <c r="N303" s="4" t="str">
        <f t="shared" si="32"/>
        <v>01:00-02:00</v>
      </c>
      <c r="O303" t="str">
        <f t="shared" si="33"/>
        <v>NAV</v>
      </c>
      <c r="P303" t="str">
        <f t="shared" si="34"/>
        <v>NAV</v>
      </c>
    </row>
    <row r="304" spans="1:16" x14ac:dyDescent="0.3">
      <c r="A304" s="4">
        <v>4</v>
      </c>
      <c r="B304" s="4" t="s">
        <v>159</v>
      </c>
      <c r="C304" s="4" t="s">
        <v>6</v>
      </c>
      <c r="D304" s="4" t="s">
        <v>22</v>
      </c>
      <c r="E304" s="4" t="str">
        <f t="shared" si="29"/>
        <v>TH</v>
      </c>
      <c r="F304" s="4">
        <v>6</v>
      </c>
      <c r="G304" s="4" t="str">
        <f t="shared" si="30"/>
        <v>TH6</v>
      </c>
      <c r="H304" s="4" t="s">
        <v>192</v>
      </c>
      <c r="I304" s="4" t="s">
        <v>192</v>
      </c>
      <c r="J304" s="4" t="s">
        <v>192</v>
      </c>
      <c r="K304" s="4" t="s">
        <v>192</v>
      </c>
      <c r="L304" t="str">
        <f t="shared" si="28"/>
        <v>NAVTH6</v>
      </c>
      <c r="M304" s="4" t="str">
        <f t="shared" si="31"/>
        <v>THURSDAY</v>
      </c>
      <c r="N304" s="4" t="str">
        <f t="shared" si="32"/>
        <v>02:00-03:00</v>
      </c>
      <c r="O304" t="str">
        <f t="shared" si="33"/>
        <v>NAV</v>
      </c>
      <c r="P304" t="str">
        <f t="shared" si="34"/>
        <v>NAV</v>
      </c>
    </row>
    <row r="305" spans="1:16" x14ac:dyDescent="0.3">
      <c r="A305" s="4">
        <v>4</v>
      </c>
      <c r="B305" s="4" t="s">
        <v>159</v>
      </c>
      <c r="C305" s="4" t="s">
        <v>6</v>
      </c>
      <c r="D305" s="4" t="s">
        <v>25</v>
      </c>
      <c r="E305" s="4" t="str">
        <f t="shared" si="29"/>
        <v>TH</v>
      </c>
      <c r="F305" s="4">
        <v>7</v>
      </c>
      <c r="G305" s="4" t="str">
        <f t="shared" si="30"/>
        <v>TH7</v>
      </c>
      <c r="H305" s="4" t="s">
        <v>192</v>
      </c>
      <c r="I305" s="4" t="s">
        <v>192</v>
      </c>
      <c r="J305" s="4" t="s">
        <v>192</v>
      </c>
      <c r="K305" s="4" t="s">
        <v>192</v>
      </c>
      <c r="L305" t="str">
        <f t="shared" si="28"/>
        <v>NAVTH7</v>
      </c>
      <c r="M305" s="4" t="str">
        <f t="shared" si="31"/>
        <v>THURSDAY</v>
      </c>
      <c r="N305" s="4" t="str">
        <f t="shared" si="32"/>
        <v>03:00-04:00</v>
      </c>
      <c r="O305" t="str">
        <f t="shared" si="33"/>
        <v>NAV</v>
      </c>
      <c r="P305" t="str">
        <f t="shared" si="34"/>
        <v>NAV</v>
      </c>
    </row>
    <row r="306" spans="1:16" x14ac:dyDescent="0.3">
      <c r="A306" s="4">
        <v>4</v>
      </c>
      <c r="B306" s="4" t="s">
        <v>159</v>
      </c>
      <c r="C306" s="4" t="s">
        <v>6</v>
      </c>
      <c r="D306" s="4" t="s">
        <v>26</v>
      </c>
      <c r="E306" s="4" t="str">
        <f t="shared" si="29"/>
        <v>TH</v>
      </c>
      <c r="F306" s="4">
        <v>8</v>
      </c>
      <c r="G306" s="4" t="str">
        <f t="shared" si="30"/>
        <v>TH8</v>
      </c>
      <c r="H306" s="4" t="s">
        <v>192</v>
      </c>
      <c r="I306" s="4" t="s">
        <v>192</v>
      </c>
      <c r="J306" s="4" t="s">
        <v>192</v>
      </c>
      <c r="K306" s="4" t="s">
        <v>192</v>
      </c>
      <c r="L306" t="str">
        <f t="shared" si="28"/>
        <v>NAVTH8</v>
      </c>
      <c r="M306" s="4" t="str">
        <f t="shared" si="31"/>
        <v>THURSDAY</v>
      </c>
      <c r="N306" s="4" t="str">
        <f t="shared" si="32"/>
        <v>04:00-05:00</v>
      </c>
      <c r="O306" t="str">
        <f t="shared" si="33"/>
        <v>NAV</v>
      </c>
      <c r="P306" t="str">
        <f t="shared" si="34"/>
        <v>NAV</v>
      </c>
    </row>
    <row r="307" spans="1:16" x14ac:dyDescent="0.3">
      <c r="A307" s="4">
        <v>4</v>
      </c>
      <c r="B307" s="4" t="s">
        <v>159</v>
      </c>
      <c r="C307" s="4" t="s">
        <v>6</v>
      </c>
      <c r="D307" s="4" t="s">
        <v>29</v>
      </c>
      <c r="E307" s="4" t="str">
        <f t="shared" si="29"/>
        <v>TH</v>
      </c>
      <c r="F307" s="4">
        <v>9</v>
      </c>
      <c r="G307" s="4" t="str">
        <f t="shared" si="30"/>
        <v>TH9</v>
      </c>
      <c r="H307" s="4" t="s">
        <v>192</v>
      </c>
      <c r="I307" s="4" t="s">
        <v>192</v>
      </c>
      <c r="J307" s="4" t="s">
        <v>192</v>
      </c>
      <c r="K307" s="4" t="s">
        <v>192</v>
      </c>
      <c r="L307" t="str">
        <f t="shared" si="28"/>
        <v>NAVTH9</v>
      </c>
      <c r="M307" s="4" t="str">
        <f t="shared" si="31"/>
        <v>THURSDAY</v>
      </c>
      <c r="N307" s="4" t="str">
        <f t="shared" si="32"/>
        <v>05:00-06:00</v>
      </c>
      <c r="O307" t="str">
        <f t="shared" si="33"/>
        <v>NAV</v>
      </c>
      <c r="P307" t="str">
        <f t="shared" si="34"/>
        <v>NAV</v>
      </c>
    </row>
    <row r="308" spans="1:16" x14ac:dyDescent="0.3">
      <c r="A308" s="4">
        <v>4</v>
      </c>
      <c r="B308" s="4" t="s">
        <v>159</v>
      </c>
      <c r="C308" s="4" t="s">
        <v>7</v>
      </c>
      <c r="D308" s="4" t="s">
        <v>9</v>
      </c>
      <c r="E308" s="4" t="str">
        <f t="shared" si="29"/>
        <v>F</v>
      </c>
      <c r="F308" s="4">
        <v>1</v>
      </c>
      <c r="G308" s="4" t="str">
        <f t="shared" si="30"/>
        <v>F1</v>
      </c>
      <c r="H308" s="4" t="s">
        <v>192</v>
      </c>
      <c r="I308" s="4" t="s">
        <v>192</v>
      </c>
      <c r="J308" s="4" t="s">
        <v>192</v>
      </c>
      <c r="K308" s="4" t="s">
        <v>192</v>
      </c>
      <c r="L308" t="str">
        <f t="shared" si="28"/>
        <v>NAVF1</v>
      </c>
      <c r="M308" s="4" t="str">
        <f t="shared" si="31"/>
        <v>FRIDAY</v>
      </c>
      <c r="N308" s="4" t="str">
        <f t="shared" si="32"/>
        <v>09:00-10:00</v>
      </c>
      <c r="O308" t="str">
        <f t="shared" si="33"/>
        <v>NAV</v>
      </c>
      <c r="P308" t="str">
        <f t="shared" si="34"/>
        <v>NAV</v>
      </c>
    </row>
    <row r="309" spans="1:16" x14ac:dyDescent="0.3">
      <c r="A309" s="4">
        <v>4</v>
      </c>
      <c r="B309" s="4" t="s">
        <v>159</v>
      </c>
      <c r="C309" s="4" t="s">
        <v>7</v>
      </c>
      <c r="D309" s="4" t="s">
        <v>13</v>
      </c>
      <c r="E309" s="4" t="str">
        <f t="shared" si="29"/>
        <v>F</v>
      </c>
      <c r="F309" s="4">
        <v>2</v>
      </c>
      <c r="G309" s="4" t="str">
        <f t="shared" si="30"/>
        <v>F2</v>
      </c>
      <c r="H309" s="4" t="s">
        <v>192</v>
      </c>
      <c r="I309" s="4" t="s">
        <v>192</v>
      </c>
      <c r="J309" s="4" t="s">
        <v>192</v>
      </c>
      <c r="K309" s="4" t="s">
        <v>192</v>
      </c>
      <c r="L309" t="str">
        <f t="shared" si="28"/>
        <v>NAVF2</v>
      </c>
      <c r="M309" s="4" t="str">
        <f t="shared" si="31"/>
        <v>FRIDAY</v>
      </c>
      <c r="N309" s="4" t="str">
        <f t="shared" si="32"/>
        <v>10:00-11:00</v>
      </c>
      <c r="O309" t="str">
        <f t="shared" si="33"/>
        <v>NAV</v>
      </c>
      <c r="P309" t="str">
        <f t="shared" si="34"/>
        <v>NAV</v>
      </c>
    </row>
    <row r="310" spans="1:16" x14ac:dyDescent="0.3">
      <c r="A310" s="4">
        <v>4</v>
      </c>
      <c r="B310" s="4" t="s">
        <v>159</v>
      </c>
      <c r="C310" s="4" t="s">
        <v>7</v>
      </c>
      <c r="D310" s="4" t="s">
        <v>15</v>
      </c>
      <c r="E310" s="4" t="str">
        <f t="shared" si="29"/>
        <v>F</v>
      </c>
      <c r="F310" s="4">
        <v>3</v>
      </c>
      <c r="G310" s="4" t="str">
        <f t="shared" si="30"/>
        <v>F3</v>
      </c>
      <c r="H310" s="4" t="s">
        <v>192</v>
      </c>
      <c r="I310" s="4" t="s">
        <v>192</v>
      </c>
      <c r="J310" s="4" t="s">
        <v>192</v>
      </c>
      <c r="K310" s="4" t="s">
        <v>192</v>
      </c>
      <c r="L310" t="str">
        <f t="shared" si="28"/>
        <v>NAVF3</v>
      </c>
      <c r="M310" s="4" t="str">
        <f t="shared" si="31"/>
        <v>FRIDAY</v>
      </c>
      <c r="N310" s="4" t="str">
        <f t="shared" si="32"/>
        <v>11:00-12:00</v>
      </c>
      <c r="O310" t="str">
        <f t="shared" si="33"/>
        <v>NAV</v>
      </c>
      <c r="P310" t="str">
        <f t="shared" si="34"/>
        <v>NAV</v>
      </c>
    </row>
    <row r="311" spans="1:16" x14ac:dyDescent="0.3">
      <c r="A311" s="4">
        <v>4</v>
      </c>
      <c r="B311" s="4" t="s">
        <v>159</v>
      </c>
      <c r="C311" s="4" t="s">
        <v>7</v>
      </c>
      <c r="D311" s="4" t="s">
        <v>19</v>
      </c>
      <c r="E311" s="4" t="str">
        <f t="shared" si="29"/>
        <v>F</v>
      </c>
      <c r="F311" s="4">
        <v>4</v>
      </c>
      <c r="G311" s="4" t="str">
        <f t="shared" si="30"/>
        <v>F4</v>
      </c>
      <c r="H311" s="4" t="s">
        <v>192</v>
      </c>
      <c r="I311" s="4" t="s">
        <v>192</v>
      </c>
      <c r="J311" s="4" t="s">
        <v>192</v>
      </c>
      <c r="K311" s="4" t="s">
        <v>192</v>
      </c>
      <c r="L311" t="str">
        <f t="shared" si="28"/>
        <v>NAVF4</v>
      </c>
      <c r="M311" s="4" t="str">
        <f t="shared" si="31"/>
        <v>FRIDAY</v>
      </c>
      <c r="N311" s="4" t="str">
        <f t="shared" si="32"/>
        <v>12:00-01:00</v>
      </c>
      <c r="O311" t="str">
        <f t="shared" si="33"/>
        <v>NAV</v>
      </c>
      <c r="P311" t="str">
        <f t="shared" si="34"/>
        <v>NAV</v>
      </c>
    </row>
    <row r="312" spans="1:16" x14ac:dyDescent="0.3">
      <c r="A312" s="4">
        <v>4</v>
      </c>
      <c r="B312" s="4" t="s">
        <v>159</v>
      </c>
      <c r="C312" s="4" t="s">
        <v>7</v>
      </c>
      <c r="D312" s="4" t="s">
        <v>152</v>
      </c>
      <c r="E312" s="4" t="str">
        <f t="shared" si="29"/>
        <v>F</v>
      </c>
      <c r="F312" s="4">
        <v>5</v>
      </c>
      <c r="G312" s="4" t="str">
        <f t="shared" si="30"/>
        <v>F5</v>
      </c>
      <c r="H312" s="4" t="s">
        <v>192</v>
      </c>
      <c r="I312" s="4" t="s">
        <v>192</v>
      </c>
      <c r="J312" s="4" t="s">
        <v>192</v>
      </c>
      <c r="K312" s="4" t="s">
        <v>192</v>
      </c>
      <c r="L312" t="str">
        <f t="shared" si="28"/>
        <v>NAVF5</v>
      </c>
      <c r="M312" s="4" t="str">
        <f t="shared" si="31"/>
        <v>FRIDAY</v>
      </c>
      <c r="N312" s="4" t="str">
        <f t="shared" si="32"/>
        <v>01:00-02:00</v>
      </c>
      <c r="O312" t="str">
        <f t="shared" si="33"/>
        <v>NAV</v>
      </c>
      <c r="P312" t="str">
        <f t="shared" si="34"/>
        <v>NAV</v>
      </c>
    </row>
    <row r="313" spans="1:16" x14ac:dyDescent="0.3">
      <c r="A313" s="4">
        <v>4</v>
      </c>
      <c r="B313" s="4" t="s">
        <v>159</v>
      </c>
      <c r="C313" s="4" t="s">
        <v>7</v>
      </c>
      <c r="D313" s="4" t="s">
        <v>22</v>
      </c>
      <c r="E313" s="4" t="str">
        <f t="shared" si="29"/>
        <v>F</v>
      </c>
      <c r="F313" s="4">
        <v>6</v>
      </c>
      <c r="G313" s="4" t="str">
        <f t="shared" si="30"/>
        <v>F6</v>
      </c>
      <c r="H313" s="4" t="s">
        <v>192</v>
      </c>
      <c r="I313" s="4" t="s">
        <v>192</v>
      </c>
      <c r="J313" s="4" t="s">
        <v>192</v>
      </c>
      <c r="K313" s="4" t="s">
        <v>192</v>
      </c>
      <c r="L313" t="str">
        <f t="shared" si="28"/>
        <v>NAVF6</v>
      </c>
      <c r="M313" s="4" t="str">
        <f t="shared" si="31"/>
        <v>FRIDAY</v>
      </c>
      <c r="N313" s="4" t="str">
        <f t="shared" si="32"/>
        <v>02:00-03:00</v>
      </c>
      <c r="O313" t="str">
        <f t="shared" si="33"/>
        <v>NAV</v>
      </c>
      <c r="P313" t="str">
        <f t="shared" si="34"/>
        <v>NAV</v>
      </c>
    </row>
    <row r="314" spans="1:16" x14ac:dyDescent="0.3">
      <c r="A314" s="4">
        <v>4</v>
      </c>
      <c r="B314" s="4" t="s">
        <v>159</v>
      </c>
      <c r="C314" s="4" t="s">
        <v>7</v>
      </c>
      <c r="D314" s="4" t="s">
        <v>25</v>
      </c>
      <c r="E314" s="4" t="str">
        <f t="shared" si="29"/>
        <v>F</v>
      </c>
      <c r="F314" s="4">
        <v>7</v>
      </c>
      <c r="G314" s="4" t="str">
        <f t="shared" si="30"/>
        <v>F7</v>
      </c>
      <c r="H314" s="4" t="s">
        <v>192</v>
      </c>
      <c r="I314" s="4" t="s">
        <v>192</v>
      </c>
      <c r="J314" s="4" t="s">
        <v>192</v>
      </c>
      <c r="K314" s="4" t="s">
        <v>192</v>
      </c>
      <c r="L314" t="str">
        <f t="shared" si="28"/>
        <v>NAVF7</v>
      </c>
      <c r="M314" s="4" t="str">
        <f t="shared" si="31"/>
        <v>FRIDAY</v>
      </c>
      <c r="N314" s="4" t="str">
        <f t="shared" si="32"/>
        <v>03:00-04:00</v>
      </c>
      <c r="O314" t="str">
        <f t="shared" si="33"/>
        <v>NAV</v>
      </c>
      <c r="P314" t="str">
        <f t="shared" si="34"/>
        <v>NAV</v>
      </c>
    </row>
    <row r="315" spans="1:16" x14ac:dyDescent="0.3">
      <c r="A315" s="4">
        <v>4</v>
      </c>
      <c r="B315" s="4" t="s">
        <v>159</v>
      </c>
      <c r="C315" s="4" t="s">
        <v>7</v>
      </c>
      <c r="D315" s="4" t="s">
        <v>26</v>
      </c>
      <c r="E315" s="4" t="str">
        <f t="shared" si="29"/>
        <v>F</v>
      </c>
      <c r="F315" s="4">
        <v>8</v>
      </c>
      <c r="G315" s="4" t="str">
        <f t="shared" si="30"/>
        <v>F8</v>
      </c>
      <c r="H315" s="4" t="s">
        <v>192</v>
      </c>
      <c r="I315" s="4" t="s">
        <v>192</v>
      </c>
      <c r="J315" s="4" t="s">
        <v>192</v>
      </c>
      <c r="K315" s="4" t="s">
        <v>192</v>
      </c>
      <c r="L315" t="str">
        <f t="shared" si="28"/>
        <v>NAVF8</v>
      </c>
      <c r="M315" s="4" t="str">
        <f t="shared" si="31"/>
        <v>FRIDAY</v>
      </c>
      <c r="N315" s="4" t="str">
        <f t="shared" si="32"/>
        <v>04:00-05:00</v>
      </c>
      <c r="O315" t="str">
        <f t="shared" si="33"/>
        <v>NAV</v>
      </c>
      <c r="P315" t="str">
        <f t="shared" si="34"/>
        <v>NAV</v>
      </c>
    </row>
    <row r="316" spans="1:16" x14ac:dyDescent="0.3">
      <c r="A316" s="4">
        <v>4</v>
      </c>
      <c r="B316" s="4" t="s">
        <v>159</v>
      </c>
      <c r="C316" s="4" t="s">
        <v>7</v>
      </c>
      <c r="D316" s="4" t="s">
        <v>29</v>
      </c>
      <c r="E316" s="4" t="str">
        <f t="shared" si="29"/>
        <v>F</v>
      </c>
      <c r="F316" s="4">
        <v>9</v>
      </c>
      <c r="G316" s="4" t="str">
        <f t="shared" si="30"/>
        <v>F9</v>
      </c>
      <c r="H316" s="4" t="s">
        <v>192</v>
      </c>
      <c r="I316" s="4" t="s">
        <v>192</v>
      </c>
      <c r="J316" s="4" t="s">
        <v>192</v>
      </c>
      <c r="K316" s="4" t="s">
        <v>192</v>
      </c>
      <c r="L316" t="str">
        <f t="shared" si="28"/>
        <v>NAVF9</v>
      </c>
      <c r="M316" s="4" t="str">
        <f t="shared" si="31"/>
        <v>FRIDAY</v>
      </c>
      <c r="N316" s="4" t="str">
        <f t="shared" si="32"/>
        <v>05:00-06:00</v>
      </c>
      <c r="O316" t="str">
        <f t="shared" si="33"/>
        <v>NAV</v>
      </c>
      <c r="P316" t="str">
        <f t="shared" si="34"/>
        <v>NAV</v>
      </c>
    </row>
    <row r="317" spans="1:16" x14ac:dyDescent="0.3">
      <c r="A317" s="4">
        <v>4</v>
      </c>
      <c r="B317" s="4" t="s">
        <v>159</v>
      </c>
      <c r="C317" s="4" t="s">
        <v>8</v>
      </c>
      <c r="D317" s="4" t="s">
        <v>9</v>
      </c>
      <c r="E317" s="4" t="str">
        <f t="shared" si="29"/>
        <v>S</v>
      </c>
      <c r="F317" s="4">
        <v>1</v>
      </c>
      <c r="G317" s="4" t="str">
        <f t="shared" si="30"/>
        <v>S1</v>
      </c>
      <c r="H317" s="4" t="s">
        <v>192</v>
      </c>
      <c r="I317" s="4" t="s">
        <v>192</v>
      </c>
      <c r="J317" s="4" t="s">
        <v>192</v>
      </c>
      <c r="K317" s="4" t="s">
        <v>192</v>
      </c>
      <c r="L317" t="str">
        <f t="shared" si="28"/>
        <v>NAVS1</v>
      </c>
      <c r="M317" s="4" t="str">
        <f t="shared" si="31"/>
        <v>SATURDAY</v>
      </c>
      <c r="N317" s="4" t="str">
        <f t="shared" si="32"/>
        <v>09:00-10:00</v>
      </c>
      <c r="O317" t="str">
        <f t="shared" si="33"/>
        <v>NAV</v>
      </c>
      <c r="P317" t="str">
        <f t="shared" si="34"/>
        <v>NAV</v>
      </c>
    </row>
    <row r="318" spans="1:16" x14ac:dyDescent="0.3">
      <c r="A318" s="4">
        <v>4</v>
      </c>
      <c r="B318" s="4" t="s">
        <v>159</v>
      </c>
      <c r="C318" s="4" t="s">
        <v>8</v>
      </c>
      <c r="D318" s="4" t="s">
        <v>13</v>
      </c>
      <c r="E318" s="4" t="str">
        <f t="shared" si="29"/>
        <v>S</v>
      </c>
      <c r="F318" s="4">
        <v>2</v>
      </c>
      <c r="G318" s="4" t="str">
        <f t="shared" si="30"/>
        <v>S2</v>
      </c>
      <c r="H318" s="4" t="s">
        <v>192</v>
      </c>
      <c r="I318" s="4" t="s">
        <v>192</v>
      </c>
      <c r="J318" s="4" t="s">
        <v>192</v>
      </c>
      <c r="K318" s="4" t="s">
        <v>192</v>
      </c>
      <c r="L318" t="str">
        <f t="shared" si="28"/>
        <v>NAVS2</v>
      </c>
      <c r="M318" s="4" t="str">
        <f t="shared" si="31"/>
        <v>SATURDAY</v>
      </c>
      <c r="N318" s="4" t="str">
        <f t="shared" si="32"/>
        <v>10:00-11:00</v>
      </c>
      <c r="O318" t="str">
        <f t="shared" si="33"/>
        <v>NAV</v>
      </c>
      <c r="P318" t="str">
        <f t="shared" si="34"/>
        <v>NAV</v>
      </c>
    </row>
    <row r="319" spans="1:16" x14ac:dyDescent="0.3">
      <c r="A319" s="4">
        <v>4</v>
      </c>
      <c r="B319" s="4" t="s">
        <v>159</v>
      </c>
      <c r="C319" s="4" t="s">
        <v>8</v>
      </c>
      <c r="D319" s="4" t="s">
        <v>15</v>
      </c>
      <c r="E319" s="4" t="str">
        <f t="shared" si="29"/>
        <v>S</v>
      </c>
      <c r="F319" s="4">
        <v>3</v>
      </c>
      <c r="G319" s="4" t="str">
        <f t="shared" si="30"/>
        <v>S3</v>
      </c>
      <c r="H319" s="4" t="s">
        <v>192</v>
      </c>
      <c r="I319" s="4" t="s">
        <v>192</v>
      </c>
      <c r="J319" s="4" t="s">
        <v>192</v>
      </c>
      <c r="K319" s="4" t="s">
        <v>192</v>
      </c>
      <c r="L319" t="str">
        <f t="shared" si="28"/>
        <v>NAVS3</v>
      </c>
      <c r="M319" s="4" t="str">
        <f t="shared" si="31"/>
        <v>SATURDAY</v>
      </c>
      <c r="N319" s="4" t="str">
        <f t="shared" si="32"/>
        <v>11:00-12:00</v>
      </c>
      <c r="O319" t="str">
        <f t="shared" si="33"/>
        <v>NAV</v>
      </c>
      <c r="P319" t="str">
        <f t="shared" si="34"/>
        <v>NAV</v>
      </c>
    </row>
    <row r="320" spans="1:16" x14ac:dyDescent="0.3">
      <c r="A320" s="4">
        <v>4</v>
      </c>
      <c r="B320" s="4" t="s">
        <v>159</v>
      </c>
      <c r="C320" s="4" t="s">
        <v>8</v>
      </c>
      <c r="D320" s="4" t="s">
        <v>19</v>
      </c>
      <c r="E320" s="4" t="str">
        <f t="shared" si="29"/>
        <v>S</v>
      </c>
      <c r="F320" s="4">
        <v>4</v>
      </c>
      <c r="G320" s="4" t="str">
        <f t="shared" si="30"/>
        <v>S4</v>
      </c>
      <c r="H320" s="4" t="s">
        <v>192</v>
      </c>
      <c r="I320" s="4" t="s">
        <v>192</v>
      </c>
      <c r="J320" s="4" t="s">
        <v>192</v>
      </c>
      <c r="K320" s="4" t="s">
        <v>192</v>
      </c>
      <c r="L320" t="str">
        <f t="shared" si="28"/>
        <v>NAVS4</v>
      </c>
      <c r="M320" s="4" t="str">
        <f t="shared" si="31"/>
        <v>SATURDAY</v>
      </c>
      <c r="N320" s="4" t="str">
        <f t="shared" si="32"/>
        <v>12:00-01:00</v>
      </c>
      <c r="O320" t="str">
        <f t="shared" si="33"/>
        <v>NAV</v>
      </c>
      <c r="P320" t="str">
        <f t="shared" si="34"/>
        <v>NAV</v>
      </c>
    </row>
    <row r="321" spans="1:16" x14ac:dyDescent="0.3">
      <c r="A321" s="4">
        <v>4</v>
      </c>
      <c r="B321" s="4" t="s">
        <v>159</v>
      </c>
      <c r="C321" s="4" t="s">
        <v>8</v>
      </c>
      <c r="D321" s="4" t="s">
        <v>152</v>
      </c>
      <c r="E321" s="4" t="str">
        <f t="shared" si="29"/>
        <v>S</v>
      </c>
      <c r="F321" s="4">
        <v>5</v>
      </c>
      <c r="G321" s="4" t="str">
        <f t="shared" si="30"/>
        <v>S5</v>
      </c>
      <c r="H321" s="4" t="s">
        <v>192</v>
      </c>
      <c r="I321" s="4" t="s">
        <v>192</v>
      </c>
      <c r="J321" s="4" t="s">
        <v>192</v>
      </c>
      <c r="K321" s="4" t="s">
        <v>192</v>
      </c>
      <c r="L321" t="str">
        <f t="shared" si="28"/>
        <v>NAVS5</v>
      </c>
      <c r="M321" s="4" t="str">
        <f t="shared" si="31"/>
        <v>SATURDAY</v>
      </c>
      <c r="N321" s="4" t="str">
        <f t="shared" si="32"/>
        <v>01:00-02:00</v>
      </c>
      <c r="O321" t="str">
        <f t="shared" si="33"/>
        <v>NAV</v>
      </c>
      <c r="P321" t="str">
        <f t="shared" si="34"/>
        <v>NAV</v>
      </c>
    </row>
    <row r="322" spans="1:16" x14ac:dyDescent="0.3">
      <c r="A322" s="4">
        <v>4</v>
      </c>
      <c r="B322" s="4" t="s">
        <v>159</v>
      </c>
      <c r="C322" s="4" t="s">
        <v>8</v>
      </c>
      <c r="D322" s="4" t="s">
        <v>22</v>
      </c>
      <c r="E322" s="4" t="str">
        <f t="shared" si="29"/>
        <v>S</v>
      </c>
      <c r="F322" s="4">
        <v>6</v>
      </c>
      <c r="G322" s="4" t="str">
        <f t="shared" si="30"/>
        <v>S6</v>
      </c>
      <c r="H322" s="4" t="s">
        <v>192</v>
      </c>
      <c r="I322" s="4" t="s">
        <v>192</v>
      </c>
      <c r="J322" s="4" t="s">
        <v>192</v>
      </c>
      <c r="K322" s="4" t="s">
        <v>192</v>
      </c>
      <c r="L322" t="str">
        <f t="shared" ref="L322:L325" si="35">_xlfn.CONCAT(K322,G322)</f>
        <v>NAVS6</v>
      </c>
      <c r="M322" s="4" t="str">
        <f t="shared" si="31"/>
        <v>SATURDAY</v>
      </c>
      <c r="N322" s="4" t="str">
        <f t="shared" si="32"/>
        <v>02:00-03:00</v>
      </c>
      <c r="O322" t="str">
        <f t="shared" si="33"/>
        <v>NAV</v>
      </c>
      <c r="P322" t="str">
        <f t="shared" si="34"/>
        <v>NAV</v>
      </c>
    </row>
    <row r="323" spans="1:16" x14ac:dyDescent="0.3">
      <c r="A323" s="4">
        <v>4</v>
      </c>
      <c r="B323" s="4" t="s">
        <v>159</v>
      </c>
      <c r="C323" s="4" t="s">
        <v>8</v>
      </c>
      <c r="D323" s="4" t="s">
        <v>25</v>
      </c>
      <c r="E323" s="4" t="str">
        <f t="shared" ref="E323:E325" si="36">IF(C323="MONDAY","M",IF(C323="TUESDAY","T",IF(C323="WEDNESDAY","W",IF(C323="THURSDAY","TH",IF(C323="FRIDAY","F",IF(C323="SATURDAY","S","NA"))))))</f>
        <v>S</v>
      </c>
      <c r="F323" s="4">
        <v>7</v>
      </c>
      <c r="G323" s="4" t="str">
        <f t="shared" ref="G323:G325" si="37">_xlfn.CONCAT(E323,F323)</f>
        <v>S7</v>
      </c>
      <c r="H323" s="4" t="s">
        <v>192</v>
      </c>
      <c r="I323" s="4" t="s">
        <v>192</v>
      </c>
      <c r="J323" s="4" t="s">
        <v>192</v>
      </c>
      <c r="K323" s="4" t="s">
        <v>192</v>
      </c>
      <c r="L323" t="str">
        <f t="shared" si="35"/>
        <v>NAVS7</v>
      </c>
      <c r="M323" s="4" t="str">
        <f t="shared" ref="M323:M325" si="38">C323</f>
        <v>SATURDAY</v>
      </c>
      <c r="N323" s="4" t="str">
        <f t="shared" ref="N323:N325" si="39">D323</f>
        <v>03:00-04:00</v>
      </c>
      <c r="O323" t="str">
        <f t="shared" ref="O323:O325" si="40">H323</f>
        <v>NAV</v>
      </c>
      <c r="P323" t="str">
        <f t="shared" ref="P323:P325" si="41">J323</f>
        <v>NAV</v>
      </c>
    </row>
    <row r="324" spans="1:16" x14ac:dyDescent="0.3">
      <c r="A324" s="4">
        <v>4</v>
      </c>
      <c r="B324" s="4" t="s">
        <v>159</v>
      </c>
      <c r="C324" s="4" t="s">
        <v>8</v>
      </c>
      <c r="D324" s="4" t="s">
        <v>26</v>
      </c>
      <c r="E324" s="4" t="str">
        <f t="shared" si="36"/>
        <v>S</v>
      </c>
      <c r="F324" s="4">
        <v>8</v>
      </c>
      <c r="G324" s="4" t="str">
        <f t="shared" si="37"/>
        <v>S8</v>
      </c>
      <c r="H324" s="4" t="s">
        <v>192</v>
      </c>
      <c r="I324" s="4" t="s">
        <v>192</v>
      </c>
      <c r="J324" s="4" t="s">
        <v>192</v>
      </c>
      <c r="K324" s="4" t="s">
        <v>192</v>
      </c>
      <c r="L324" t="str">
        <f t="shared" si="35"/>
        <v>NAVS8</v>
      </c>
      <c r="M324" s="4" t="str">
        <f t="shared" si="38"/>
        <v>SATURDAY</v>
      </c>
      <c r="N324" s="4" t="str">
        <f t="shared" si="39"/>
        <v>04:00-05:00</v>
      </c>
      <c r="O324" t="str">
        <f t="shared" si="40"/>
        <v>NAV</v>
      </c>
      <c r="P324" t="str">
        <f t="shared" si="41"/>
        <v>NAV</v>
      </c>
    </row>
    <row r="325" spans="1:16" x14ac:dyDescent="0.3">
      <c r="A325" s="4">
        <v>4</v>
      </c>
      <c r="B325" s="4" t="s">
        <v>159</v>
      </c>
      <c r="C325" s="4" t="s">
        <v>8</v>
      </c>
      <c r="D325" s="4" t="s">
        <v>29</v>
      </c>
      <c r="E325" s="4" t="str">
        <f t="shared" si="36"/>
        <v>S</v>
      </c>
      <c r="F325" s="4">
        <v>9</v>
      </c>
      <c r="G325" s="4" t="str">
        <f t="shared" si="37"/>
        <v>S9</v>
      </c>
      <c r="H325" s="4" t="s">
        <v>192</v>
      </c>
      <c r="I325" s="4" t="s">
        <v>192</v>
      </c>
      <c r="J325" s="4" t="s">
        <v>192</v>
      </c>
      <c r="K325" s="4" t="s">
        <v>192</v>
      </c>
      <c r="L325" t="str">
        <f t="shared" si="35"/>
        <v>NAVS9</v>
      </c>
      <c r="M325" s="4" t="str">
        <f t="shared" si="38"/>
        <v>SATURDAY</v>
      </c>
      <c r="N325" s="4" t="str">
        <f t="shared" si="39"/>
        <v>05:00-06:00</v>
      </c>
      <c r="O325" t="str">
        <f t="shared" si="40"/>
        <v>NAV</v>
      </c>
      <c r="P325" t="str">
        <f t="shared" si="41"/>
        <v>NAV</v>
      </c>
    </row>
  </sheetData>
  <autoFilter ref="A1:P325" xr:uid="{7C3B035D-5C8F-4CC7-89A6-A9E05E31976C}"/>
  <phoneticPr fontId="5" type="noConversion"/>
  <dataValidations count="1">
    <dataValidation type="list" allowBlank="1" showInputMessage="1" showErrorMessage="1" sqref="J1" xr:uid="{5A5CD880-9872-4C59-B809-B3C0855F2267}">
      <formula1>$J$2:$J$17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12B6A-D3F1-4B9B-A97C-22CA7D37E017}">
  <dimension ref="A2:Q39"/>
  <sheetViews>
    <sheetView zoomScale="75" workbookViewId="0">
      <selection activeCell="L33" sqref="L33"/>
    </sheetView>
  </sheetViews>
  <sheetFormatPr defaultRowHeight="14.4" x14ac:dyDescent="0.3"/>
  <cols>
    <col min="2" max="2" width="10.6640625" bestFit="1" customWidth="1"/>
    <col min="11" max="11" width="10.6640625" bestFit="1" customWidth="1"/>
  </cols>
  <sheetData>
    <row r="2" spans="1:17" x14ac:dyDescent="0.3">
      <c r="A2" s="130" t="s">
        <v>161</v>
      </c>
      <c r="B2" s="130"/>
      <c r="C2" s="130"/>
      <c r="D2" s="130"/>
      <c r="E2" s="130"/>
      <c r="F2" s="130"/>
      <c r="G2" s="130"/>
      <c r="H2" s="130"/>
      <c r="J2" s="130" t="s">
        <v>162</v>
      </c>
      <c r="K2" s="130"/>
      <c r="L2" s="130"/>
      <c r="M2" s="130"/>
      <c r="N2" s="130"/>
      <c r="O2" s="130"/>
      <c r="P2" s="130"/>
      <c r="Q2" s="130"/>
    </row>
    <row r="3" spans="1:17" x14ac:dyDescent="0.3">
      <c r="A3" s="25"/>
      <c r="B3" s="26"/>
      <c r="C3" s="26">
        <v>1</v>
      </c>
      <c r="D3" s="26">
        <v>2</v>
      </c>
      <c r="E3" s="26">
        <v>3</v>
      </c>
      <c r="F3" s="26">
        <v>4</v>
      </c>
      <c r="G3" s="26">
        <v>5</v>
      </c>
      <c r="H3" s="26">
        <v>6</v>
      </c>
      <c r="J3" s="25"/>
      <c r="K3" s="26"/>
      <c r="L3" s="26">
        <v>1</v>
      </c>
      <c r="M3" s="26">
        <v>2</v>
      </c>
      <c r="N3" s="26">
        <v>3</v>
      </c>
      <c r="O3" s="26">
        <v>4</v>
      </c>
      <c r="P3" s="26">
        <v>5</v>
      </c>
      <c r="Q3" s="26">
        <v>6</v>
      </c>
    </row>
    <row r="4" spans="1:17" x14ac:dyDescent="0.3">
      <c r="A4" s="25"/>
      <c r="B4" s="27"/>
      <c r="C4" s="27" t="s">
        <v>163</v>
      </c>
      <c r="D4" s="27" t="s">
        <v>164</v>
      </c>
      <c r="E4" s="27" t="s">
        <v>165</v>
      </c>
      <c r="F4" s="27" t="s">
        <v>166</v>
      </c>
      <c r="G4" s="27" t="s">
        <v>167</v>
      </c>
      <c r="H4" s="27" t="s">
        <v>168</v>
      </c>
      <c r="J4" s="25"/>
      <c r="K4" s="27"/>
      <c r="L4" s="27" t="s">
        <v>163</v>
      </c>
      <c r="M4" s="27" t="s">
        <v>164</v>
      </c>
      <c r="N4" s="27" t="s">
        <v>165</v>
      </c>
      <c r="O4" s="27" t="s">
        <v>166</v>
      </c>
      <c r="P4" s="27" t="s">
        <v>167</v>
      </c>
      <c r="Q4" s="27" t="s">
        <v>168</v>
      </c>
    </row>
    <row r="5" spans="1:17" x14ac:dyDescent="0.3">
      <c r="A5" s="26">
        <v>1</v>
      </c>
      <c r="B5" s="28" t="s">
        <v>9</v>
      </c>
      <c r="C5" s="29" t="str">
        <f>'RAW DATA'!H2</f>
        <v>BA203</v>
      </c>
      <c r="D5" s="29" t="str">
        <f>'RAW DATA'!H11</f>
        <v>BA205</v>
      </c>
      <c r="E5" s="29" t="str">
        <f>'RAW DATA'!H20</f>
        <v>BA205</v>
      </c>
      <c r="F5" s="29" t="str">
        <f>'RAW DATA'!H29</f>
        <v>BA203</v>
      </c>
      <c r="G5" s="29" t="str">
        <f>'RAW DATA'!H38</f>
        <v>BA206</v>
      </c>
      <c r="H5" s="29" t="str">
        <f>'RAW DATA'!H47</f>
        <v>BA207</v>
      </c>
      <c r="J5" s="26">
        <v>1</v>
      </c>
      <c r="K5" s="28" t="s">
        <v>9</v>
      </c>
      <c r="L5" s="29" t="str">
        <f>'RAW DATA'!H56</f>
        <v>LEISURE</v>
      </c>
      <c r="M5" s="29" t="str">
        <f>'RAW DATA'!H65</f>
        <v>LEISURE</v>
      </c>
      <c r="N5" s="29" t="str">
        <f>'RAW DATA'!H74</f>
        <v>BA404</v>
      </c>
      <c r="O5" s="29" t="str">
        <f>'RAW DATA'!H83</f>
        <v>LEISURE</v>
      </c>
      <c r="P5" s="29" t="str">
        <f>'RAW DATA'!H92</f>
        <v>LEISURE</v>
      </c>
      <c r="Q5" s="29" t="str">
        <f>'RAW DATA'!H101</f>
        <v>LEISURE</v>
      </c>
    </row>
    <row r="6" spans="1:17" x14ac:dyDescent="0.3">
      <c r="A6" s="26">
        <v>2</v>
      </c>
      <c r="B6" s="28" t="s">
        <v>13</v>
      </c>
      <c r="C6" s="29" t="str">
        <f>'RAW DATA'!H3</f>
        <v>BA203</v>
      </c>
      <c r="D6" s="29" t="str">
        <f>'RAW DATA'!H12</f>
        <v>BA205</v>
      </c>
      <c r="E6" s="29" t="str">
        <f>'RAW DATA'!H21</f>
        <v>BA205</v>
      </c>
      <c r="F6" s="29" t="str">
        <f>'RAW DATA'!H30</f>
        <v>BA203</v>
      </c>
      <c r="G6" s="29" t="str">
        <f>'RAW DATA'!H39</f>
        <v>BA206</v>
      </c>
      <c r="H6" s="29" t="str">
        <f>'RAW DATA'!H48</f>
        <v>BA207</v>
      </c>
      <c r="J6" s="26">
        <v>2</v>
      </c>
      <c r="K6" s="28" t="s">
        <v>13</v>
      </c>
      <c r="L6" s="29" t="str">
        <f>'RAW DATA'!H57</f>
        <v>LEISURE</v>
      </c>
      <c r="M6" s="29" t="str">
        <f>'RAW DATA'!H66</f>
        <v>LEISURE</v>
      </c>
      <c r="N6" s="29" t="str">
        <f>'RAW DATA'!H75</f>
        <v>BA404</v>
      </c>
      <c r="O6" s="29" t="str">
        <f>'RAW DATA'!H84</f>
        <v>LEISURE</v>
      </c>
      <c r="P6" s="29" t="str">
        <f>'RAW DATA'!H93</f>
        <v>LEISURE</v>
      </c>
      <c r="Q6" s="29" t="str">
        <f>'RAW DATA'!H102</f>
        <v>LEISURE</v>
      </c>
    </row>
    <row r="7" spans="1:17" x14ac:dyDescent="0.3">
      <c r="A7" s="26">
        <v>3</v>
      </c>
      <c r="B7" s="28" t="s">
        <v>15</v>
      </c>
      <c r="C7" s="29" t="str">
        <f>'RAW DATA'!H4</f>
        <v>LEISURE</v>
      </c>
      <c r="D7" s="29" t="str">
        <f>'RAW DATA'!H13</f>
        <v>BA202</v>
      </c>
      <c r="E7" s="29" t="str">
        <f>'RAW DATA'!H22</f>
        <v>BA209</v>
      </c>
      <c r="F7" s="29" t="str">
        <f>'RAW DATA'!H31</f>
        <v>BA209</v>
      </c>
      <c r="G7" s="29" t="str">
        <f>'RAW DATA'!H40</f>
        <v>BA202</v>
      </c>
      <c r="H7" s="29" t="str">
        <f>'RAW DATA'!H49</f>
        <v>BA201</v>
      </c>
      <c r="J7" s="26">
        <v>3</v>
      </c>
      <c r="K7" s="28" t="s">
        <v>15</v>
      </c>
      <c r="L7" s="29" t="str">
        <f>'RAW DATA'!H58</f>
        <v>LEISURE</v>
      </c>
      <c r="M7" s="29" t="str">
        <f>'RAW DATA'!H67</f>
        <v>LEISURE</v>
      </c>
      <c r="N7" s="29" t="str">
        <f>'RAW DATA'!H76</f>
        <v>BA404</v>
      </c>
      <c r="O7" s="29" t="str">
        <f>'RAW DATA'!H85</f>
        <v>LEISURE</v>
      </c>
      <c r="P7" s="29" t="str">
        <f>'RAW DATA'!H94</f>
        <v>LEISURE</v>
      </c>
      <c r="Q7" s="29" t="str">
        <f>'RAW DATA'!H103</f>
        <v>LEISURE</v>
      </c>
    </row>
    <row r="8" spans="1:17" x14ac:dyDescent="0.3">
      <c r="A8" s="26">
        <v>4</v>
      </c>
      <c r="B8" s="28" t="s">
        <v>19</v>
      </c>
      <c r="C8" s="29" t="str">
        <f>'RAW DATA'!H5</f>
        <v>LEISURE</v>
      </c>
      <c r="D8" s="29" t="str">
        <f>'RAW DATA'!H14</f>
        <v>BA202</v>
      </c>
      <c r="E8" s="29" t="str">
        <f>'RAW DATA'!H23</f>
        <v>BA209</v>
      </c>
      <c r="F8" s="29" t="str">
        <f>'RAW DATA'!H32</f>
        <v>BA209</v>
      </c>
      <c r="G8" s="29" t="str">
        <f>'RAW DATA'!H41</f>
        <v>BA202</v>
      </c>
      <c r="H8" s="29" t="str">
        <f>'RAW DATA'!H50</f>
        <v>BA201</v>
      </c>
      <c r="J8" s="26">
        <v>4</v>
      </c>
      <c r="K8" s="28" t="s">
        <v>19</v>
      </c>
      <c r="L8" s="29" t="str">
        <f>'RAW DATA'!H59</f>
        <v>LEISURE</v>
      </c>
      <c r="M8" s="29" t="str">
        <f>'RAW DATA'!H68</f>
        <v>LEISURE</v>
      </c>
      <c r="N8" s="29" t="str">
        <f>'RAW DATA'!H77</f>
        <v>LEISURE</v>
      </c>
      <c r="O8" s="29" t="str">
        <f>'RAW DATA'!H86</f>
        <v>LEISURE</v>
      </c>
      <c r="P8" s="29" t="str">
        <f>'RAW DATA'!H95</f>
        <v>LEISURE</v>
      </c>
      <c r="Q8" s="29" t="str">
        <f>'RAW DATA'!H104</f>
        <v>LEISURE</v>
      </c>
    </row>
    <row r="9" spans="1:17" x14ac:dyDescent="0.3">
      <c r="A9" s="26">
        <v>5</v>
      </c>
      <c r="B9" s="28" t="s">
        <v>152</v>
      </c>
      <c r="C9" s="29" t="str">
        <f>'RAW DATA'!H6</f>
        <v>LUNCH</v>
      </c>
      <c r="D9" s="29" t="str">
        <f>'RAW DATA'!H15</f>
        <v>LUNCH</v>
      </c>
      <c r="E9" s="29" t="str">
        <f>'RAW DATA'!H24</f>
        <v>LUNCH</v>
      </c>
      <c r="F9" s="29" t="str">
        <f>'RAW DATA'!H33</f>
        <v>LUNCH</v>
      </c>
      <c r="G9" s="29" t="str">
        <f>'RAW DATA'!H42</f>
        <v>LUNCH</v>
      </c>
      <c r="H9" s="29" t="str">
        <f>'RAW DATA'!H51</f>
        <v>LUNCH</v>
      </c>
      <c r="J9" s="26">
        <v>5</v>
      </c>
      <c r="K9" s="28" t="s">
        <v>152</v>
      </c>
      <c r="L9" s="29" t="str">
        <f>'RAW DATA'!H60</f>
        <v>LUNCH</v>
      </c>
      <c r="M9" s="29" t="str">
        <f>'RAW DATA'!H69</f>
        <v>LUNCH</v>
      </c>
      <c r="N9" s="29" t="str">
        <f>'RAW DATA'!H78</f>
        <v>LUNCH</v>
      </c>
      <c r="O9" s="29" t="str">
        <f>'RAW DATA'!H87</f>
        <v>LUNCH</v>
      </c>
      <c r="P9" s="29" t="str">
        <f>'RAW DATA'!H96</f>
        <v>LUNCH</v>
      </c>
      <c r="Q9" s="29" t="str">
        <f>'RAW DATA'!H105</f>
        <v>LUNCH</v>
      </c>
    </row>
    <row r="10" spans="1:17" x14ac:dyDescent="0.3">
      <c r="A10" s="26">
        <v>6</v>
      </c>
      <c r="B10" s="28" t="s">
        <v>22</v>
      </c>
      <c r="C10" s="29" t="str">
        <f>'RAW DATA'!H7</f>
        <v>BA204</v>
      </c>
      <c r="D10" s="29" t="str">
        <f>'RAW DATA'!H16</f>
        <v>BA204</v>
      </c>
      <c r="E10" s="29" t="str">
        <f>'RAW DATA'!H25</f>
        <v>BA201</v>
      </c>
      <c r="F10" s="29" t="str">
        <f>'RAW DATA'!H34</f>
        <v>BA206</v>
      </c>
      <c r="G10" s="29" t="str">
        <f>'RAW DATA'!H43</f>
        <v>BA207</v>
      </c>
      <c r="H10" s="29" t="str">
        <f>'RAW DATA'!H52</f>
        <v>BA208</v>
      </c>
      <c r="J10" s="26">
        <v>6</v>
      </c>
      <c r="K10" s="28" t="s">
        <v>22</v>
      </c>
      <c r="L10" s="29" t="str">
        <f>'RAW DATA'!H61</f>
        <v>LEISURE</v>
      </c>
      <c r="M10" s="29" t="str">
        <f>'RAW DATA'!H70</f>
        <v>LEISURE</v>
      </c>
      <c r="N10" s="29" t="str">
        <f>'RAW DATA'!H79</f>
        <v>LEISURE</v>
      </c>
      <c r="O10" s="29" t="str">
        <f>'RAW DATA'!H88</f>
        <v>LEISURE</v>
      </c>
      <c r="P10" s="29" t="str">
        <f>'RAW DATA'!H97</f>
        <v>BA403</v>
      </c>
      <c r="Q10" s="29" t="str">
        <f>'RAW DATA'!H106</f>
        <v>LEISURE</v>
      </c>
    </row>
    <row r="11" spans="1:17" x14ac:dyDescent="0.3">
      <c r="A11" s="26">
        <v>7</v>
      </c>
      <c r="B11" s="28" t="s">
        <v>25</v>
      </c>
      <c r="C11" s="29" t="str">
        <f>'RAW DATA'!H8</f>
        <v>BA204</v>
      </c>
      <c r="D11" s="29" t="str">
        <f>'RAW DATA'!H17</f>
        <v>BA204</v>
      </c>
      <c r="E11" s="29" t="str">
        <f>'RAW DATA'!H26</f>
        <v>BA201</v>
      </c>
      <c r="F11" s="29" t="str">
        <f>'RAW DATA'!H35</f>
        <v>BA206</v>
      </c>
      <c r="G11" s="29" t="str">
        <f>'RAW DATA'!H44</f>
        <v>BA207</v>
      </c>
      <c r="H11" s="29" t="str">
        <f>'RAW DATA'!H53</f>
        <v>BA208</v>
      </c>
      <c r="J11" s="26">
        <v>7</v>
      </c>
      <c r="K11" s="28" t="s">
        <v>25</v>
      </c>
      <c r="L11" s="29" t="str">
        <f>'RAW DATA'!H62</f>
        <v>LEISURE</v>
      </c>
      <c r="M11" s="29" t="str">
        <f>'RAW DATA'!H71</f>
        <v>LEISURE</v>
      </c>
      <c r="N11" s="29" t="str">
        <f>'RAW DATA'!H80</f>
        <v>LEISURE</v>
      </c>
      <c r="O11" s="29" t="str">
        <f>'RAW DATA'!H89</f>
        <v>LEISURE</v>
      </c>
      <c r="P11" s="29" t="str">
        <f>'RAW DATA'!H98</f>
        <v>BA403</v>
      </c>
      <c r="Q11" s="29" t="str">
        <f>'RAW DATA'!H107</f>
        <v>LEISURE</v>
      </c>
    </row>
    <row r="12" spans="1:17" x14ac:dyDescent="0.3">
      <c r="A12" s="26">
        <v>8</v>
      </c>
      <c r="B12" s="28" t="s">
        <v>26</v>
      </c>
      <c r="C12" s="29" t="str">
        <f>'RAW DATA'!H9</f>
        <v>LEISURE</v>
      </c>
      <c r="D12" s="29" t="str">
        <f>'RAW DATA'!H18</f>
        <v>LEISURE</v>
      </c>
      <c r="E12" s="29" t="str">
        <f>'RAW DATA'!H27</f>
        <v>LEISURE</v>
      </c>
      <c r="F12" s="29" t="str">
        <f>'RAW DATA'!H36</f>
        <v>LEISURE</v>
      </c>
      <c r="G12" s="29" t="str">
        <f>'RAW DATA'!H45</f>
        <v>LEISURE</v>
      </c>
      <c r="H12" s="29" t="str">
        <f>'RAW DATA'!H54</f>
        <v>BA208</v>
      </c>
      <c r="J12" s="26">
        <v>8</v>
      </c>
      <c r="K12" s="28" t="s">
        <v>26</v>
      </c>
      <c r="L12" s="29" t="str">
        <f>'RAW DATA'!H63</f>
        <v>LEISURE</v>
      </c>
      <c r="M12" s="29" t="str">
        <f>'RAW DATA'!H72</f>
        <v>LEISURE</v>
      </c>
      <c r="N12" s="29" t="str">
        <f>'RAW DATA'!H81</f>
        <v>LEISURE</v>
      </c>
      <c r="O12" s="29" t="str">
        <f>'RAW DATA'!H90</f>
        <v>LEISURE</v>
      </c>
      <c r="P12" s="29" t="str">
        <f>'RAW DATA'!H99</f>
        <v>BA403</v>
      </c>
      <c r="Q12" s="29" t="str">
        <f>'RAW DATA'!H108</f>
        <v>LEISURE</v>
      </c>
    </row>
    <row r="13" spans="1:17" x14ac:dyDescent="0.3">
      <c r="A13" s="26">
        <v>9</v>
      </c>
      <c r="B13" s="28" t="s">
        <v>29</v>
      </c>
      <c r="C13" s="29" t="str">
        <f>'RAW DATA'!H10</f>
        <v>LEISURE</v>
      </c>
      <c r="D13" s="29" t="str">
        <f>'RAW DATA'!H19</f>
        <v>LEISURE</v>
      </c>
      <c r="E13" s="29" t="str">
        <f>'RAW DATA'!H28</f>
        <v>LEISURE</v>
      </c>
      <c r="F13" s="29" t="str">
        <f>'RAW DATA'!H37</f>
        <v>LEISURE</v>
      </c>
      <c r="G13" s="29" t="str">
        <f>'RAW DATA'!H46</f>
        <v>LEISURE</v>
      </c>
      <c r="H13" s="29" t="str">
        <f>'RAW DATA'!H55</f>
        <v>BA208</v>
      </c>
      <c r="J13" s="26">
        <v>9</v>
      </c>
      <c r="K13" s="28" t="s">
        <v>29</v>
      </c>
      <c r="L13" s="29" t="str">
        <f>'RAW DATA'!H64</f>
        <v>LEISURE</v>
      </c>
      <c r="M13" s="29" t="str">
        <f>'RAW DATA'!H73</f>
        <v>LEISURE</v>
      </c>
      <c r="N13" s="29" t="str">
        <f>'RAW DATA'!H82</f>
        <v>LEISURE</v>
      </c>
      <c r="O13" s="29" t="str">
        <f>'RAW DATA'!H91</f>
        <v>LEISURE</v>
      </c>
      <c r="P13" s="29" t="str">
        <f>'RAW DATA'!H100</f>
        <v>LEISURE</v>
      </c>
      <c r="Q13" s="29" t="str">
        <f>'RAW DATA'!H109</f>
        <v>LEISURE</v>
      </c>
    </row>
    <row r="15" spans="1:17" x14ac:dyDescent="0.3">
      <c r="A15" s="130" t="s">
        <v>169</v>
      </c>
      <c r="B15" s="130"/>
      <c r="C15" s="130"/>
      <c r="D15" s="130"/>
      <c r="E15" s="130"/>
      <c r="F15" s="130"/>
      <c r="G15" s="130"/>
      <c r="H15" s="130"/>
      <c r="J15" s="130" t="s">
        <v>170</v>
      </c>
      <c r="K15" s="130"/>
      <c r="L15" s="130"/>
      <c r="M15" s="130"/>
      <c r="N15" s="130"/>
      <c r="O15" s="130"/>
      <c r="P15" s="130"/>
      <c r="Q15" s="130"/>
    </row>
    <row r="16" spans="1:17" x14ac:dyDescent="0.3">
      <c r="A16" s="25"/>
      <c r="B16" s="26"/>
      <c r="C16" s="26">
        <v>1</v>
      </c>
      <c r="D16" s="26">
        <v>2</v>
      </c>
      <c r="E16" s="26">
        <v>3</v>
      </c>
      <c r="F16" s="26">
        <v>4</v>
      </c>
      <c r="G16" s="26">
        <v>5</v>
      </c>
      <c r="H16" s="26">
        <v>6</v>
      </c>
      <c r="J16" s="25"/>
      <c r="K16" s="26"/>
      <c r="L16" s="26">
        <v>1</v>
      </c>
      <c r="M16" s="26">
        <v>2</v>
      </c>
      <c r="N16" s="26">
        <v>3</v>
      </c>
      <c r="O16" s="26">
        <v>4</v>
      </c>
      <c r="P16" s="26">
        <v>5</v>
      </c>
      <c r="Q16" s="26">
        <v>6</v>
      </c>
    </row>
    <row r="17" spans="1:17" x14ac:dyDescent="0.3">
      <c r="A17" s="25"/>
      <c r="B17" s="27"/>
      <c r="C17" s="27" t="s">
        <v>163</v>
      </c>
      <c r="D17" s="27" t="s">
        <v>164</v>
      </c>
      <c r="E17" s="27" t="s">
        <v>165</v>
      </c>
      <c r="F17" s="27" t="s">
        <v>166</v>
      </c>
      <c r="G17" s="27" t="s">
        <v>167</v>
      </c>
      <c r="H17" s="27" t="s">
        <v>168</v>
      </c>
      <c r="J17" s="25"/>
      <c r="K17" s="27"/>
      <c r="L17" s="27" t="s">
        <v>163</v>
      </c>
      <c r="M17" s="27" t="s">
        <v>164</v>
      </c>
      <c r="N17" s="27" t="s">
        <v>165</v>
      </c>
      <c r="O17" s="27" t="s">
        <v>166</v>
      </c>
      <c r="P17" s="27" t="s">
        <v>167</v>
      </c>
      <c r="Q17" s="27" t="s">
        <v>168</v>
      </c>
    </row>
    <row r="18" spans="1:17" x14ac:dyDescent="0.3">
      <c r="A18" s="26">
        <v>1</v>
      </c>
      <c r="B18" s="28" t="s">
        <v>9</v>
      </c>
      <c r="C18" s="29" t="str">
        <f>'RAW DATA'!H110</f>
        <v>GE202</v>
      </c>
      <c r="D18" s="29" t="str">
        <f>'RAW DATA'!H119</f>
        <v>LEISURE</v>
      </c>
      <c r="E18" s="29" t="str">
        <f>'RAW DATA'!H128</f>
        <v>LEISURE</v>
      </c>
      <c r="F18" s="29" t="str">
        <f>'RAW DATA'!H137</f>
        <v>GE202</v>
      </c>
      <c r="G18" s="29" t="str">
        <f>'RAW DATA'!H146</f>
        <v>LEISURE</v>
      </c>
      <c r="H18" s="29" t="str">
        <f>'RAW DATA'!H155</f>
        <v>LEISURE</v>
      </c>
      <c r="J18" s="26">
        <v>1</v>
      </c>
      <c r="K18" s="28" t="s">
        <v>9</v>
      </c>
      <c r="L18" s="29" t="str">
        <f>'RAW DATA'!H164</f>
        <v>LEISURE</v>
      </c>
      <c r="M18" s="29" t="str">
        <f>'RAW DATA'!H173</f>
        <v>LEISURE</v>
      </c>
      <c r="N18" s="29" t="str">
        <f>'RAW DATA'!H182</f>
        <v>GE471</v>
      </c>
      <c r="O18" s="29" t="str">
        <f>'RAW DATA'!H191</f>
        <v>GE452</v>
      </c>
      <c r="P18" s="29" t="str">
        <f>'RAW DATA'!H200</f>
        <v>GE462</v>
      </c>
      <c r="Q18" s="29" t="str">
        <f>'RAW DATA'!H209</f>
        <v>LEISURE</v>
      </c>
    </row>
    <row r="19" spans="1:17" x14ac:dyDescent="0.3">
      <c r="A19" s="26">
        <v>2</v>
      </c>
      <c r="B19" s="28" t="s">
        <v>13</v>
      </c>
      <c r="C19" s="29" t="str">
        <f>'RAW DATA'!H111</f>
        <v>GE202</v>
      </c>
      <c r="D19" s="29" t="str">
        <f>'RAW DATA'!H120</f>
        <v>LEISURE</v>
      </c>
      <c r="E19" s="29" t="str">
        <f>'RAW DATA'!H129</f>
        <v>GE205</v>
      </c>
      <c r="F19" s="29" t="str">
        <f>'RAW DATA'!H138</f>
        <v>GE202</v>
      </c>
      <c r="G19" s="29" t="str">
        <f>'RAW DATA'!H147</f>
        <v>GE205</v>
      </c>
      <c r="H19" s="29" t="str">
        <f>'RAW DATA'!H156</f>
        <v>GE201</v>
      </c>
      <c r="J19" s="26">
        <v>2</v>
      </c>
      <c r="K19" s="28" t="s">
        <v>13</v>
      </c>
      <c r="L19" s="29" t="str">
        <f>'RAW DATA'!H165</f>
        <v>GE432</v>
      </c>
      <c r="M19" s="29" t="str">
        <f>'RAW DATA'!H174</f>
        <v>GE441</v>
      </c>
      <c r="N19" s="29" t="str">
        <f>'RAW DATA'!H183</f>
        <v>GE471</v>
      </c>
      <c r="O19" s="29" t="str">
        <f>'RAW DATA'!H192</f>
        <v>GE452</v>
      </c>
      <c r="P19" s="29" t="str">
        <f>'RAW DATA'!H201</f>
        <v>GE462</v>
      </c>
      <c r="Q19" s="29" t="str">
        <f>'RAW DATA'!H210</f>
        <v>LEISURE</v>
      </c>
    </row>
    <row r="20" spans="1:17" x14ac:dyDescent="0.3">
      <c r="A20" s="26">
        <v>3</v>
      </c>
      <c r="B20" s="28" t="s">
        <v>15</v>
      </c>
      <c r="C20" s="29" t="str">
        <f>'RAW DATA'!H112</f>
        <v>LEISURE</v>
      </c>
      <c r="D20" s="29" t="str">
        <f>'RAW DATA'!H121</f>
        <v>GE203</v>
      </c>
      <c r="E20" s="29" t="str">
        <f>'RAW DATA'!H130</f>
        <v>GE205</v>
      </c>
      <c r="F20" s="29" t="str">
        <f>'RAW DATA'!H139</f>
        <v>GE203</v>
      </c>
      <c r="G20" s="29" t="str">
        <f>'RAW DATA'!H148</f>
        <v>GE205</v>
      </c>
      <c r="H20" s="29" t="str">
        <f>'RAW DATA'!H157</f>
        <v>GE201</v>
      </c>
      <c r="J20" s="26">
        <v>3</v>
      </c>
      <c r="K20" s="28" t="s">
        <v>15</v>
      </c>
      <c r="L20" s="29" t="str">
        <f>'RAW DATA'!H166</f>
        <v>GE432</v>
      </c>
      <c r="M20" s="29" t="str">
        <f>'RAW DATA'!H175</f>
        <v>GE441</v>
      </c>
      <c r="N20" s="29" t="str">
        <f>'RAW DATA'!H184</f>
        <v>GE471</v>
      </c>
      <c r="O20" s="29" t="str">
        <f>'RAW DATA'!H193</f>
        <v>GE451</v>
      </c>
      <c r="P20" s="29" t="str">
        <f>'RAW DATA'!H202</f>
        <v>GE462</v>
      </c>
      <c r="Q20" s="29" t="str">
        <f>'RAW DATA'!H211</f>
        <v>LEISURE</v>
      </c>
    </row>
    <row r="21" spans="1:17" x14ac:dyDescent="0.3">
      <c r="A21" s="26">
        <v>4</v>
      </c>
      <c r="B21" s="28" t="s">
        <v>19</v>
      </c>
      <c r="C21" s="29" t="str">
        <f>'RAW DATA'!H113</f>
        <v>LEISURE</v>
      </c>
      <c r="D21" s="29" t="str">
        <f>'RAW DATA'!H122</f>
        <v>GE203</v>
      </c>
      <c r="E21" s="29" t="str">
        <f>'RAW DATA'!H131</f>
        <v>LEISURE</v>
      </c>
      <c r="F21" s="29" t="str">
        <f>'RAW DATA'!H140</f>
        <v>GE203</v>
      </c>
      <c r="G21" s="29" t="str">
        <f>'RAW DATA'!H149</f>
        <v>LEISURE</v>
      </c>
      <c r="H21" s="29" t="str">
        <f>'RAW DATA'!H158</f>
        <v>GE201</v>
      </c>
      <c r="J21" s="26">
        <v>4</v>
      </c>
      <c r="K21" s="28" t="s">
        <v>19</v>
      </c>
      <c r="L21" s="29" t="str">
        <f>'RAW DATA'!H167</f>
        <v>GE432</v>
      </c>
      <c r="M21" s="29" t="str">
        <f>'RAW DATA'!H176</f>
        <v>GE441</v>
      </c>
      <c r="N21" s="29" t="str">
        <f>'RAW DATA'!H185</f>
        <v>LEISURE</v>
      </c>
      <c r="O21" s="29" t="str">
        <f>'RAW DATA'!H194</f>
        <v>GE451</v>
      </c>
      <c r="P21" s="29" t="str">
        <f>'RAW DATA'!H203</f>
        <v>LEISURE</v>
      </c>
      <c r="Q21" s="29" t="str">
        <f>'RAW DATA'!H212</f>
        <v>LEISURE</v>
      </c>
    </row>
    <row r="22" spans="1:17" x14ac:dyDescent="0.3">
      <c r="A22" s="26">
        <v>5</v>
      </c>
      <c r="B22" s="28" t="s">
        <v>152</v>
      </c>
      <c r="C22" s="29" t="str">
        <f>'RAW DATA'!H114</f>
        <v>LUNCH</v>
      </c>
      <c r="D22" s="29" t="str">
        <f>'RAW DATA'!H123</f>
        <v>LUNCH</v>
      </c>
      <c r="E22" s="29" t="str">
        <f>'RAW DATA'!H132</f>
        <v>LUNCH</v>
      </c>
      <c r="F22" s="29" t="str">
        <f>'RAW DATA'!H141</f>
        <v>LUNCH</v>
      </c>
      <c r="G22" s="29" t="str">
        <f>'RAW DATA'!H150</f>
        <v>LUNCH</v>
      </c>
      <c r="H22" s="29" t="str">
        <f>'RAW DATA'!H159</f>
        <v>LUNCH</v>
      </c>
      <c r="J22" s="26">
        <v>5</v>
      </c>
      <c r="K22" s="28" t="s">
        <v>152</v>
      </c>
      <c r="L22" s="29" t="str">
        <f>'RAW DATA'!H168</f>
        <v>LUNCH</v>
      </c>
      <c r="M22" s="29" t="str">
        <f>'RAW DATA'!H177</f>
        <v>LUNCH</v>
      </c>
      <c r="N22" s="29" t="str">
        <f>'RAW DATA'!H186</f>
        <v>LUNCH</v>
      </c>
      <c r="O22" s="29" t="str">
        <f>'RAW DATA'!H195</f>
        <v>LUNCH</v>
      </c>
      <c r="P22" s="29" t="str">
        <f>'RAW DATA'!H204</f>
        <v>LUNCH</v>
      </c>
      <c r="Q22" s="29" t="str">
        <f>'RAW DATA'!H213</f>
        <v>LUNCH</v>
      </c>
    </row>
    <row r="23" spans="1:17" x14ac:dyDescent="0.3">
      <c r="A23" s="26">
        <v>6</v>
      </c>
      <c r="B23" s="28" t="s">
        <v>22</v>
      </c>
      <c r="C23" s="29" t="str">
        <f>'RAW DATA'!H115</f>
        <v>GE204</v>
      </c>
      <c r="D23" s="29" t="str">
        <f>'RAW DATA'!H124</f>
        <v>LEISURE</v>
      </c>
      <c r="E23" s="29" t="str">
        <f>'RAW DATA'!H133</f>
        <v>GE206</v>
      </c>
      <c r="F23" s="29" t="str">
        <f>'RAW DATA'!H142</f>
        <v>GE207</v>
      </c>
      <c r="G23" s="29" t="str">
        <f>'RAW DATA'!H151</f>
        <v>GE207</v>
      </c>
      <c r="H23" s="29" t="str">
        <f>'RAW DATA'!H160</f>
        <v>LEISURE</v>
      </c>
      <c r="J23" s="26">
        <v>6</v>
      </c>
      <c r="K23" s="28" t="s">
        <v>22</v>
      </c>
      <c r="L23" s="29" t="str">
        <f>'RAW DATA'!H169</f>
        <v>GE431</v>
      </c>
      <c r="M23" s="29" t="str">
        <f>'RAW DATA'!H178</f>
        <v>GE442</v>
      </c>
      <c r="N23" s="29" t="str">
        <f>'RAW DATA'!H187</f>
        <v>LEISURE</v>
      </c>
      <c r="O23" s="29" t="str">
        <f>'RAW DATA'!H196</f>
        <v>GE452</v>
      </c>
      <c r="P23" s="29" t="str">
        <f>'RAW DATA'!H205</f>
        <v>GE461</v>
      </c>
      <c r="Q23" s="29" t="str">
        <f>'RAW DATA'!H214</f>
        <v>GE472</v>
      </c>
    </row>
    <row r="24" spans="1:17" x14ac:dyDescent="0.3">
      <c r="A24" s="26">
        <v>7</v>
      </c>
      <c r="B24" s="28" t="s">
        <v>25</v>
      </c>
      <c r="C24" s="29" t="str">
        <f>'RAW DATA'!H116</f>
        <v>GE204</v>
      </c>
      <c r="D24" s="29" t="str">
        <f>'RAW DATA'!H125</f>
        <v>LEISURE</v>
      </c>
      <c r="E24" s="29" t="str">
        <f>'RAW DATA'!H134</f>
        <v>GE206</v>
      </c>
      <c r="F24" s="29" t="str">
        <f>'RAW DATA'!H143</f>
        <v>GE207</v>
      </c>
      <c r="G24" s="29" t="str">
        <f>'RAW DATA'!H152</f>
        <v>GE207</v>
      </c>
      <c r="H24" s="29" t="str">
        <f>'RAW DATA'!H161</f>
        <v>LEISURE</v>
      </c>
      <c r="J24" s="26">
        <v>7</v>
      </c>
      <c r="K24" s="28" t="s">
        <v>25</v>
      </c>
      <c r="L24" s="29" t="str">
        <f>'RAW DATA'!H170</f>
        <v>GE431</v>
      </c>
      <c r="M24" s="29" t="str">
        <f>'RAW DATA'!H179</f>
        <v>GE442</v>
      </c>
      <c r="N24" s="29" t="str">
        <f>'RAW DATA'!H188</f>
        <v>LEISURE</v>
      </c>
      <c r="O24" s="29" t="str">
        <f>'RAW DATA'!H197</f>
        <v>GE451</v>
      </c>
      <c r="P24" s="29" t="str">
        <f>'RAW DATA'!H206</f>
        <v>GE461</v>
      </c>
      <c r="Q24" s="29" t="str">
        <f>'RAW DATA'!H215</f>
        <v>GE472</v>
      </c>
    </row>
    <row r="25" spans="1:17" x14ac:dyDescent="0.3">
      <c r="A25" s="26">
        <v>8</v>
      </c>
      <c r="B25" s="28" t="s">
        <v>26</v>
      </c>
      <c r="C25" s="29" t="str">
        <f>'RAW DATA'!H117</f>
        <v>LEISURE</v>
      </c>
      <c r="D25" s="29" t="str">
        <f>'RAW DATA'!H126</f>
        <v>LEISURE</v>
      </c>
      <c r="E25" s="29" t="str">
        <f>'RAW DATA'!H135</f>
        <v>GE206</v>
      </c>
      <c r="F25" s="29" t="str">
        <f>'RAW DATA'!H144</f>
        <v>LEISURE</v>
      </c>
      <c r="G25" s="29" t="str">
        <f>'RAW DATA'!H153</f>
        <v>LEISURE</v>
      </c>
      <c r="H25" s="29" t="str">
        <f>'RAW DATA'!H162</f>
        <v>LEISURE</v>
      </c>
      <c r="J25" s="26">
        <v>8</v>
      </c>
      <c r="K25" s="28" t="s">
        <v>26</v>
      </c>
      <c r="L25" s="29" t="str">
        <f>'RAW DATA'!H171</f>
        <v>GE431</v>
      </c>
      <c r="M25" s="29" t="str">
        <f>'RAW DATA'!H180</f>
        <v>GE442</v>
      </c>
      <c r="N25" s="29" t="str">
        <f>'RAW DATA'!H189</f>
        <v>LEISURE</v>
      </c>
      <c r="O25" s="29" t="str">
        <f>'RAW DATA'!H198</f>
        <v>LEISURE</v>
      </c>
      <c r="P25" s="29" t="str">
        <f>'RAW DATA'!H207</f>
        <v>GE461</v>
      </c>
      <c r="Q25" s="29" t="str">
        <f>'RAW DATA'!H216</f>
        <v>GE472</v>
      </c>
    </row>
    <row r="26" spans="1:17" x14ac:dyDescent="0.3">
      <c r="A26" s="26">
        <v>9</v>
      </c>
      <c r="B26" s="28" t="s">
        <v>29</v>
      </c>
      <c r="C26" s="29" t="str">
        <f>'RAW DATA'!H118</f>
        <v>LEISURE</v>
      </c>
      <c r="D26" s="29" t="str">
        <f>'RAW DATA'!H127</f>
        <v>LEISURE</v>
      </c>
      <c r="E26" s="29" t="str">
        <f>'RAW DATA'!H136</f>
        <v>LEISURE</v>
      </c>
      <c r="F26" s="29" t="str">
        <f>'RAW DATA'!H145</f>
        <v>LEISURE</v>
      </c>
      <c r="G26" s="29" t="str">
        <f>'RAW DATA'!H154</f>
        <v>LEISURE</v>
      </c>
      <c r="H26" s="29" t="str">
        <f>'RAW DATA'!H163</f>
        <v>LEISURE</v>
      </c>
      <c r="J26" s="26">
        <v>9</v>
      </c>
      <c r="K26" s="28" t="s">
        <v>29</v>
      </c>
      <c r="L26" s="29" t="str">
        <f>'RAW DATA'!H172</f>
        <v>LEISURE</v>
      </c>
      <c r="M26" s="29" t="str">
        <f>'RAW DATA'!H181</f>
        <v>LEISURE</v>
      </c>
      <c r="N26" s="29" t="str">
        <f>'RAW DATA'!H190</f>
        <v>LEISURE</v>
      </c>
      <c r="O26" s="29" t="str">
        <f>'RAW DATA'!H199</f>
        <v>LEISURE</v>
      </c>
      <c r="P26" s="29" t="str">
        <f>'RAW DATA'!H208</f>
        <v>LEISURE</v>
      </c>
      <c r="Q26" s="29" t="str">
        <f>'RAW DATA'!H217</f>
        <v>LEISURE</v>
      </c>
    </row>
    <row r="28" spans="1:17" x14ac:dyDescent="0.3">
      <c r="A28" s="130" t="s">
        <v>171</v>
      </c>
      <c r="B28" s="130"/>
      <c r="C28" s="130"/>
      <c r="D28" s="130"/>
      <c r="E28" s="130"/>
      <c r="F28" s="130"/>
      <c r="G28" s="130"/>
      <c r="H28" s="130"/>
      <c r="J28" s="130" t="s">
        <v>172</v>
      </c>
      <c r="K28" s="130"/>
      <c r="L28" s="130"/>
      <c r="M28" s="130"/>
      <c r="N28" s="130"/>
      <c r="O28" s="130"/>
      <c r="P28" s="130"/>
      <c r="Q28" s="130"/>
    </row>
    <row r="29" spans="1:17" x14ac:dyDescent="0.3">
      <c r="A29" s="25"/>
      <c r="B29" s="26"/>
      <c r="C29" s="26">
        <v>1</v>
      </c>
      <c r="D29" s="26">
        <v>2</v>
      </c>
      <c r="E29" s="26">
        <v>3</v>
      </c>
      <c r="F29" s="26">
        <v>4</v>
      </c>
      <c r="G29" s="26">
        <v>5</v>
      </c>
      <c r="H29" s="26">
        <v>6</v>
      </c>
      <c r="J29" s="25"/>
      <c r="K29" s="26"/>
      <c r="L29" s="26">
        <v>1</v>
      </c>
      <c r="M29" s="26">
        <v>2</v>
      </c>
      <c r="N29" s="26">
        <v>3</v>
      </c>
      <c r="O29" s="26">
        <v>4</v>
      </c>
      <c r="P29" s="26">
        <v>5</v>
      </c>
      <c r="Q29" s="26">
        <v>6</v>
      </c>
    </row>
    <row r="30" spans="1:17" x14ac:dyDescent="0.3">
      <c r="A30" s="25"/>
      <c r="B30" s="27"/>
      <c r="C30" s="27" t="s">
        <v>163</v>
      </c>
      <c r="D30" s="27" t="s">
        <v>164</v>
      </c>
      <c r="E30" s="27" t="s">
        <v>165</v>
      </c>
      <c r="F30" s="27" t="s">
        <v>166</v>
      </c>
      <c r="G30" s="27" t="s">
        <v>167</v>
      </c>
      <c r="H30" s="27" t="s">
        <v>168</v>
      </c>
      <c r="J30" s="25"/>
      <c r="K30" s="27"/>
      <c r="L30" s="27" t="s">
        <v>163</v>
      </c>
      <c r="M30" s="27" t="s">
        <v>164</v>
      </c>
      <c r="N30" s="27" t="s">
        <v>165</v>
      </c>
      <c r="O30" s="27" t="s">
        <v>166</v>
      </c>
      <c r="P30" s="27" t="s">
        <v>167</v>
      </c>
      <c r="Q30" s="27" t="s">
        <v>168</v>
      </c>
    </row>
    <row r="31" spans="1:17" x14ac:dyDescent="0.3">
      <c r="A31" s="26">
        <v>1</v>
      </c>
      <c r="B31" s="28" t="s">
        <v>9</v>
      </c>
      <c r="C31" s="29" t="str">
        <f>'RAW DATA'!H218</f>
        <v>LEISURE</v>
      </c>
      <c r="D31" s="29" t="str">
        <f>'RAW DATA'!H227</f>
        <v>HC205</v>
      </c>
      <c r="E31" s="29" t="str">
        <f>'RAW DATA'!H236</f>
        <v>HC205</v>
      </c>
      <c r="F31" s="29" t="str">
        <f>'RAW DATA'!H245</f>
        <v>HC204</v>
      </c>
      <c r="G31" s="29" t="str">
        <f>'RAW DATA'!H254</f>
        <v>HC203</v>
      </c>
      <c r="H31" s="29" t="str">
        <f>'RAW DATA'!H263</f>
        <v>LEISURE</v>
      </c>
      <c r="J31" s="26">
        <v>1</v>
      </c>
      <c r="K31" s="28" t="s">
        <v>9</v>
      </c>
      <c r="L31" s="29" t="str">
        <f>'RAW DATA'!H272</f>
        <v>NAV</v>
      </c>
      <c r="M31" s="29" t="str">
        <f>'RAW DATA'!H281</f>
        <v>NAV</v>
      </c>
      <c r="N31" s="29" t="str">
        <f>'RAW DATA'!H290</f>
        <v>NAV</v>
      </c>
      <c r="O31" s="29" t="str">
        <f>'RAW DATA'!H299</f>
        <v>NAV</v>
      </c>
      <c r="P31" s="29" t="str">
        <f>'RAW DATA'!H308</f>
        <v>NAV</v>
      </c>
      <c r="Q31" s="29" t="str">
        <f>'RAW DATA'!H317</f>
        <v>NAV</v>
      </c>
    </row>
    <row r="32" spans="1:17" x14ac:dyDescent="0.3">
      <c r="A32" s="26">
        <v>2</v>
      </c>
      <c r="B32" s="28" t="s">
        <v>13</v>
      </c>
      <c r="C32" s="29" t="str">
        <f>'RAW DATA'!H219</f>
        <v>HC204</v>
      </c>
      <c r="D32" s="29" t="str">
        <f>'RAW DATA'!H228</f>
        <v>HC205</v>
      </c>
      <c r="E32" s="29" t="str">
        <f>'RAW DATA'!H237</f>
        <v>HC205</v>
      </c>
      <c r="F32" s="29" t="str">
        <f>'RAW DATA'!H246</f>
        <v>HC204</v>
      </c>
      <c r="G32" s="29" t="str">
        <f>'RAW DATA'!H255</f>
        <v>HC203</v>
      </c>
      <c r="H32" s="29" t="str">
        <f>'RAW DATA'!H264</f>
        <v>HC206</v>
      </c>
      <c r="J32" s="26">
        <v>2</v>
      </c>
      <c r="K32" s="28" t="s">
        <v>13</v>
      </c>
      <c r="L32" s="29" t="str">
        <f>'RAW DATA'!H273</f>
        <v>NAV</v>
      </c>
      <c r="M32" s="29" t="str">
        <f>'RAW DATA'!H282</f>
        <v>NAV</v>
      </c>
      <c r="N32" s="29" t="str">
        <f>'RAW DATA'!H291</f>
        <v>NAV</v>
      </c>
      <c r="O32" s="29" t="str">
        <f>'RAW DATA'!H300</f>
        <v>NAV</v>
      </c>
      <c r="P32" s="29" t="str">
        <f>'RAW DATA'!H309</f>
        <v>NAV</v>
      </c>
      <c r="Q32" s="29" t="str">
        <f>'RAW DATA'!H318</f>
        <v>NAV</v>
      </c>
    </row>
    <row r="33" spans="1:17" x14ac:dyDescent="0.3">
      <c r="A33" s="26">
        <v>3</v>
      </c>
      <c r="B33" s="28" t="s">
        <v>15</v>
      </c>
      <c r="C33" s="29" t="str">
        <f>'RAW DATA'!H220</f>
        <v>HC204</v>
      </c>
      <c r="D33" s="29" t="str">
        <f>'RAW DATA'!H229</f>
        <v>HC201</v>
      </c>
      <c r="E33" s="29" t="str">
        <f>'RAW DATA'!H238</f>
        <v>HC207</v>
      </c>
      <c r="F33" s="29" t="str">
        <f>'RAW DATA'!H247</f>
        <v>HC202</v>
      </c>
      <c r="G33" s="29" t="str">
        <f>'RAW DATA'!H256</f>
        <v>HC202</v>
      </c>
      <c r="H33" s="29" t="str">
        <f>'RAW DATA'!H265</f>
        <v>HC206</v>
      </c>
      <c r="J33" s="26">
        <v>3</v>
      </c>
      <c r="K33" s="28" t="s">
        <v>15</v>
      </c>
      <c r="L33" s="29" t="str">
        <f>'RAW DATA'!H274</f>
        <v>NAV</v>
      </c>
      <c r="M33" s="29" t="str">
        <f>'RAW DATA'!H283</f>
        <v>NAV</v>
      </c>
      <c r="N33" s="29" t="str">
        <f>'RAW DATA'!H292</f>
        <v>NAV</v>
      </c>
      <c r="O33" s="29" t="str">
        <f>'RAW DATA'!H301</f>
        <v>NAV</v>
      </c>
      <c r="P33" s="29" t="str">
        <f>'RAW DATA'!H310</f>
        <v>NAV</v>
      </c>
      <c r="Q33" s="29" t="str">
        <f>'RAW DATA'!H319</f>
        <v>NAV</v>
      </c>
    </row>
    <row r="34" spans="1:17" x14ac:dyDescent="0.3">
      <c r="A34" s="26">
        <v>4</v>
      </c>
      <c r="B34" s="28" t="s">
        <v>19</v>
      </c>
      <c r="C34" s="29" t="str">
        <f>'RAW DATA'!H221</f>
        <v>HC201</v>
      </c>
      <c r="D34" s="29" t="str">
        <f>'RAW DATA'!H230</f>
        <v>HC201</v>
      </c>
      <c r="E34" s="29" t="str">
        <f>'RAW DATA'!H239</f>
        <v>HC207</v>
      </c>
      <c r="F34" s="29" t="str">
        <f>'RAW DATA'!H248</f>
        <v>HC202</v>
      </c>
      <c r="G34" s="29" t="str">
        <f>'RAW DATA'!H257</f>
        <v>HC202</v>
      </c>
      <c r="H34" s="29" t="str">
        <f>'RAW DATA'!H266</f>
        <v>HC201</v>
      </c>
      <c r="J34" s="26">
        <v>4</v>
      </c>
      <c r="K34" s="28" t="s">
        <v>19</v>
      </c>
      <c r="L34" s="29" t="str">
        <f>'RAW DATA'!H275</f>
        <v>NAV</v>
      </c>
      <c r="M34" s="29" t="str">
        <f>'RAW DATA'!H284</f>
        <v>NAV</v>
      </c>
      <c r="N34" s="29" t="str">
        <f>'RAW DATA'!H293</f>
        <v>NAV</v>
      </c>
      <c r="O34" s="29" t="str">
        <f>'RAW DATA'!H302</f>
        <v>NAV</v>
      </c>
      <c r="P34" s="29" t="str">
        <f>'RAW DATA'!H311</f>
        <v>NAV</v>
      </c>
      <c r="Q34" s="29" t="str">
        <f>'RAW DATA'!H320</f>
        <v>NAV</v>
      </c>
    </row>
    <row r="35" spans="1:17" x14ac:dyDescent="0.3">
      <c r="A35" s="26">
        <v>5</v>
      </c>
      <c r="B35" s="28" t="s">
        <v>152</v>
      </c>
      <c r="C35" s="29" t="str">
        <f>'RAW DATA'!H222</f>
        <v>LUNCH</v>
      </c>
      <c r="D35" s="29" t="str">
        <f>'RAW DATA'!H231</f>
        <v>LUNCH</v>
      </c>
      <c r="E35" s="29" t="str">
        <f>'RAW DATA'!H240</f>
        <v>LUNCH</v>
      </c>
      <c r="F35" s="29" t="str">
        <f>'RAW DATA'!H249</f>
        <v>LUNCH</v>
      </c>
      <c r="G35" s="29" t="str">
        <f>'RAW DATA'!H258</f>
        <v>LUNCH</v>
      </c>
      <c r="H35" s="29" t="str">
        <f>'RAW DATA'!H267</f>
        <v>LUNCH</v>
      </c>
      <c r="J35" s="26">
        <v>5</v>
      </c>
      <c r="K35" s="28" t="s">
        <v>152</v>
      </c>
      <c r="L35" s="29" t="str">
        <f>'RAW DATA'!H276</f>
        <v>NAV</v>
      </c>
      <c r="M35" s="29" t="str">
        <f>'RAW DATA'!H285</f>
        <v>NAV</v>
      </c>
      <c r="N35" s="29" t="str">
        <f>'RAW DATA'!H294</f>
        <v>NAV</v>
      </c>
      <c r="O35" s="29" t="str">
        <f>'RAW DATA'!H303</f>
        <v>NAV</v>
      </c>
      <c r="P35" s="29" t="str">
        <f>'RAW DATA'!H312</f>
        <v>NAV</v>
      </c>
      <c r="Q35" s="29" t="str">
        <f>'RAW DATA'!H321</f>
        <v>NAV</v>
      </c>
    </row>
    <row r="36" spans="1:17" x14ac:dyDescent="0.3">
      <c r="A36" s="26">
        <v>6</v>
      </c>
      <c r="B36" s="28" t="s">
        <v>22</v>
      </c>
      <c r="C36" s="29" t="str">
        <f>'RAW DATA'!H223</f>
        <v>HC207</v>
      </c>
      <c r="D36" s="29" t="str">
        <f>'RAW DATA'!H232</f>
        <v>LEISURE</v>
      </c>
      <c r="E36" s="29" t="str">
        <f>'RAW DATA'!H241</f>
        <v>LEISURE</v>
      </c>
      <c r="F36" s="29" t="str">
        <f>'RAW DATA'!H250</f>
        <v>HC209</v>
      </c>
      <c r="G36" s="29" t="str">
        <f>'RAW DATA'!H259</f>
        <v>HC209</v>
      </c>
      <c r="H36" s="29" t="str">
        <f>'RAW DATA'!H268</f>
        <v>LEISURE</v>
      </c>
      <c r="J36" s="26">
        <v>6</v>
      </c>
      <c r="K36" s="28" t="s">
        <v>22</v>
      </c>
      <c r="L36" s="29" t="str">
        <f>'RAW DATA'!H277</f>
        <v>NAV</v>
      </c>
      <c r="M36" s="29" t="str">
        <f>'RAW DATA'!H286</f>
        <v>NAV</v>
      </c>
      <c r="N36" s="29" t="str">
        <f>'RAW DATA'!H295</f>
        <v>NAV</v>
      </c>
      <c r="O36" s="29" t="str">
        <f>'RAW DATA'!H304</f>
        <v>NAV</v>
      </c>
      <c r="P36" s="29" t="str">
        <f>'RAW DATA'!H313</f>
        <v>NAV</v>
      </c>
      <c r="Q36" s="29" t="str">
        <f>'RAW DATA'!H322</f>
        <v>NAV</v>
      </c>
    </row>
    <row r="37" spans="1:17" x14ac:dyDescent="0.3">
      <c r="A37" s="26">
        <v>7</v>
      </c>
      <c r="B37" s="28" t="s">
        <v>25</v>
      </c>
      <c r="C37" s="29" t="str">
        <f>'RAW DATA'!H224</f>
        <v>HC207</v>
      </c>
      <c r="D37" s="29" t="str">
        <f>'RAW DATA'!H233</f>
        <v>LEISURE</v>
      </c>
      <c r="E37" s="29" t="str">
        <f>'RAW DATA'!H242</f>
        <v>LEISURE</v>
      </c>
      <c r="F37" s="29" t="str">
        <f>'RAW DATA'!H251</f>
        <v>HC209</v>
      </c>
      <c r="G37" s="29" t="str">
        <f>'RAW DATA'!H260</f>
        <v>HC209</v>
      </c>
      <c r="H37" s="29" t="str">
        <f>'RAW DATA'!H269</f>
        <v>LEISURE</v>
      </c>
      <c r="J37" s="26">
        <v>7</v>
      </c>
      <c r="K37" s="28" t="s">
        <v>25</v>
      </c>
      <c r="L37" s="29" t="str">
        <f>'RAW DATA'!H278</f>
        <v>NAV</v>
      </c>
      <c r="M37" s="29" t="str">
        <f>'RAW DATA'!H287</f>
        <v>NAV</v>
      </c>
      <c r="N37" s="29" t="str">
        <f>'RAW DATA'!H296</f>
        <v>NAV</v>
      </c>
      <c r="O37" s="29" t="str">
        <f>'RAW DATA'!H305</f>
        <v>NAV</v>
      </c>
      <c r="P37" s="29" t="str">
        <f>'RAW DATA'!H314</f>
        <v>NAV</v>
      </c>
      <c r="Q37" s="29" t="str">
        <f>'RAW DATA'!H323</f>
        <v>NAV</v>
      </c>
    </row>
    <row r="38" spans="1:17" x14ac:dyDescent="0.3">
      <c r="A38" s="26">
        <v>8</v>
      </c>
      <c r="B38" s="28" t="s">
        <v>26</v>
      </c>
      <c r="C38" s="29" t="str">
        <f>'RAW DATA'!H225</f>
        <v>HC203</v>
      </c>
      <c r="D38" s="29" t="str">
        <f>'RAW DATA'!H234</f>
        <v>HC208</v>
      </c>
      <c r="E38" s="29" t="str">
        <f>'RAW DATA'!H243</f>
        <v>LEISURE</v>
      </c>
      <c r="F38" s="29" t="str">
        <f>'RAW DATA'!H252</f>
        <v>HC206</v>
      </c>
      <c r="G38" s="29" t="str">
        <f>'RAW DATA'!H261</f>
        <v>HC208</v>
      </c>
      <c r="H38" s="29" t="str">
        <f>'RAW DATA'!H270</f>
        <v>LEISURE</v>
      </c>
      <c r="J38" s="26">
        <v>8</v>
      </c>
      <c r="K38" s="28" t="s">
        <v>26</v>
      </c>
      <c r="L38" s="29" t="str">
        <f>'RAW DATA'!H279</f>
        <v>NAV</v>
      </c>
      <c r="M38" s="29" t="str">
        <f>'RAW DATA'!H288</f>
        <v>NAV</v>
      </c>
      <c r="N38" s="29" t="str">
        <f>'RAW DATA'!H297</f>
        <v>NAV</v>
      </c>
      <c r="O38" s="29" t="str">
        <f>'RAW DATA'!H306</f>
        <v>NAV</v>
      </c>
      <c r="P38" s="29" t="str">
        <f>'RAW DATA'!H315</f>
        <v>NAV</v>
      </c>
      <c r="Q38" s="29" t="str">
        <f>'RAW DATA'!H324</f>
        <v>NAV</v>
      </c>
    </row>
    <row r="39" spans="1:17" x14ac:dyDescent="0.3">
      <c r="A39" s="26">
        <v>9</v>
      </c>
      <c r="B39" s="28" t="s">
        <v>29</v>
      </c>
      <c r="C39" s="29" t="str">
        <f>'RAW DATA'!H226</f>
        <v>HC203</v>
      </c>
      <c r="D39" s="29" t="str">
        <f>'RAW DATA'!H235</f>
        <v>HC208</v>
      </c>
      <c r="E39" s="29" t="str">
        <f>'RAW DATA'!H244</f>
        <v>LEISURE</v>
      </c>
      <c r="F39" s="29" t="str">
        <f>'RAW DATA'!H253</f>
        <v>HC206</v>
      </c>
      <c r="G39" s="29" t="str">
        <f>'RAW DATA'!H262</f>
        <v>HC208</v>
      </c>
      <c r="H39" s="29" t="str">
        <f>'RAW DATA'!H271</f>
        <v>LEISURE</v>
      </c>
      <c r="J39" s="26">
        <v>9</v>
      </c>
      <c r="K39" s="28" t="s">
        <v>29</v>
      </c>
      <c r="L39" s="29" t="str">
        <f>'RAW DATA'!H280</f>
        <v>NAV</v>
      </c>
      <c r="M39" s="29" t="str">
        <f>'RAW DATA'!H289</f>
        <v>NAV</v>
      </c>
      <c r="N39" s="29" t="str">
        <f>'RAW DATA'!H298</f>
        <v>NAV</v>
      </c>
      <c r="O39" s="29" t="str">
        <f>'RAW DATA'!H307</f>
        <v>NAV</v>
      </c>
      <c r="P39" s="29" t="str">
        <f>'RAW DATA'!H316</f>
        <v>NAV</v>
      </c>
      <c r="Q39" s="29" t="str">
        <f>'RAW DATA'!H325</f>
        <v>NAV</v>
      </c>
    </row>
  </sheetData>
  <mergeCells count="6">
    <mergeCell ref="A28:H28"/>
    <mergeCell ref="J28:Q28"/>
    <mergeCell ref="A2:H2"/>
    <mergeCell ref="J2:Q2"/>
    <mergeCell ref="A15:H15"/>
    <mergeCell ref="J15:Q15"/>
  </mergeCells>
  <conditionalFormatting sqref="C44:R97">
    <cfRule type="cellIs" dxfId="0" priority="1" operator="equal">
      <formula>"leisure"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8E7E2-4577-454A-BAE6-0E469493AB6C}">
  <sheetPr codeName="Sheet6"/>
  <dimension ref="A1:J112"/>
  <sheetViews>
    <sheetView zoomScale="67" workbookViewId="0">
      <selection activeCell="F34" sqref="F34"/>
    </sheetView>
  </sheetViews>
  <sheetFormatPr defaultRowHeight="14.4" x14ac:dyDescent="0.3"/>
  <cols>
    <col min="1" max="1" width="13.5546875" bestFit="1" customWidth="1"/>
    <col min="2" max="2" width="15.33203125" bestFit="1" customWidth="1"/>
    <col min="3" max="3" width="11.109375" bestFit="1" customWidth="1"/>
    <col min="4" max="4" width="32" customWidth="1"/>
    <col min="5" max="5" width="39.21875" customWidth="1"/>
    <col min="6" max="6" width="34.6640625" bestFit="1" customWidth="1"/>
    <col min="7" max="7" width="22.44140625" bestFit="1" customWidth="1"/>
    <col min="8" max="8" width="23.109375" bestFit="1" customWidth="1"/>
    <col min="9" max="9" width="28.109375" bestFit="1" customWidth="1"/>
    <col min="10" max="10" width="19.5546875" bestFit="1" customWidth="1"/>
  </cols>
  <sheetData>
    <row r="1" spans="1:6" x14ac:dyDescent="0.3">
      <c r="A1" s="4"/>
      <c r="B1" s="4"/>
      <c r="C1" s="4"/>
      <c r="D1" s="4"/>
      <c r="E1" s="4"/>
      <c r="F1" s="4"/>
    </row>
    <row r="2" spans="1:6" x14ac:dyDescent="0.3">
      <c r="A2" s="4"/>
      <c r="B2" s="4"/>
      <c r="C2" s="4"/>
      <c r="D2" s="4"/>
      <c r="E2" s="4"/>
      <c r="F2" s="4"/>
    </row>
    <row r="3" spans="1:6" x14ac:dyDescent="0.3">
      <c r="A3" s="70" t="s">
        <v>216</v>
      </c>
      <c r="B3" s="70" t="s">
        <v>185</v>
      </c>
      <c r="C3" s="70" t="s">
        <v>186</v>
      </c>
      <c r="D3" s="70" t="s">
        <v>187</v>
      </c>
      <c r="E3" s="70" t="s">
        <v>188</v>
      </c>
      <c r="F3" s="71" t="s">
        <v>148</v>
      </c>
    </row>
    <row r="4" spans="1:6" x14ac:dyDescent="0.3">
      <c r="A4" s="67" t="s">
        <v>3</v>
      </c>
      <c r="B4" s="67" t="s">
        <v>9</v>
      </c>
      <c r="C4" s="67" t="s">
        <v>139</v>
      </c>
      <c r="D4" s="67">
        <v>2</v>
      </c>
      <c r="E4" s="72" t="s">
        <v>81</v>
      </c>
      <c r="F4" s="73" t="s">
        <v>196</v>
      </c>
    </row>
    <row r="5" spans="1:6" x14ac:dyDescent="0.3">
      <c r="A5" s="67" t="s">
        <v>4</v>
      </c>
      <c r="B5" s="67" t="s">
        <v>13</v>
      </c>
      <c r="C5" s="67" t="s">
        <v>141</v>
      </c>
      <c r="D5" s="67">
        <v>4</v>
      </c>
      <c r="E5" s="72" t="s">
        <v>156</v>
      </c>
      <c r="F5" s="73" t="s">
        <v>197</v>
      </c>
    </row>
    <row r="6" spans="1:6" x14ac:dyDescent="0.3">
      <c r="A6" s="67" t="s">
        <v>5</v>
      </c>
      <c r="B6" s="67" t="s">
        <v>15</v>
      </c>
      <c r="C6" s="67" t="s">
        <v>140</v>
      </c>
      <c r="D6" s="67"/>
      <c r="E6" s="72" t="s">
        <v>87</v>
      </c>
      <c r="F6" s="73" t="s">
        <v>201</v>
      </c>
    </row>
    <row r="7" spans="1:6" x14ac:dyDescent="0.3">
      <c r="A7" s="67" t="s">
        <v>6</v>
      </c>
      <c r="B7" s="67" t="s">
        <v>19</v>
      </c>
      <c r="C7" s="67"/>
      <c r="D7" s="67"/>
      <c r="E7" s="67" t="s">
        <v>126</v>
      </c>
      <c r="F7" s="73" t="s">
        <v>202</v>
      </c>
    </row>
    <row r="8" spans="1:6" x14ac:dyDescent="0.3">
      <c r="A8" s="67" t="s">
        <v>7</v>
      </c>
      <c r="B8" s="67" t="s">
        <v>152</v>
      </c>
      <c r="C8" s="67"/>
      <c r="D8" s="67"/>
      <c r="E8" s="67" t="s">
        <v>49</v>
      </c>
      <c r="F8" s="73" t="s">
        <v>203</v>
      </c>
    </row>
    <row r="9" spans="1:6" x14ac:dyDescent="0.3">
      <c r="A9" s="67" t="s">
        <v>8</v>
      </c>
      <c r="B9" s="67" t="s">
        <v>22</v>
      </c>
      <c r="C9" s="67"/>
      <c r="D9" s="67"/>
      <c r="E9" s="74" t="s">
        <v>70</v>
      </c>
      <c r="F9" s="73" t="s">
        <v>204</v>
      </c>
    </row>
    <row r="10" spans="1:6" x14ac:dyDescent="0.3">
      <c r="A10" s="67" t="s">
        <v>191</v>
      </c>
      <c r="B10" s="67" t="s">
        <v>25</v>
      </c>
      <c r="C10" s="67"/>
      <c r="D10" s="67"/>
      <c r="E10" s="72" t="s">
        <v>67</v>
      </c>
      <c r="F10" s="73" t="s">
        <v>208</v>
      </c>
    </row>
    <row r="11" spans="1:6" x14ac:dyDescent="0.3">
      <c r="A11" s="67" t="s">
        <v>3</v>
      </c>
      <c r="B11" s="67" t="s">
        <v>26</v>
      </c>
      <c r="C11" s="67"/>
      <c r="D11" s="67"/>
      <c r="E11" s="67" t="s">
        <v>38</v>
      </c>
      <c r="F11" s="73" t="s">
        <v>200</v>
      </c>
    </row>
    <row r="12" spans="1:6" x14ac:dyDescent="0.3">
      <c r="A12" s="67" t="s">
        <v>4</v>
      </c>
      <c r="B12" s="67" t="s">
        <v>29</v>
      </c>
      <c r="C12" s="67"/>
      <c r="D12" s="67"/>
      <c r="E12" s="67" t="s">
        <v>46</v>
      </c>
      <c r="F12" s="73" t="s">
        <v>205</v>
      </c>
    </row>
    <row r="13" spans="1:6" x14ac:dyDescent="0.3">
      <c r="A13" s="67"/>
      <c r="B13" s="67"/>
      <c r="C13" s="67"/>
      <c r="D13" s="67"/>
      <c r="E13" s="72" t="s">
        <v>73</v>
      </c>
      <c r="F13" s="73" t="s">
        <v>209</v>
      </c>
    </row>
    <row r="14" spans="1:6" x14ac:dyDescent="0.3">
      <c r="A14" s="67"/>
      <c r="B14" s="67"/>
      <c r="C14" s="67"/>
      <c r="D14" s="67"/>
      <c r="E14" s="67" t="s">
        <v>158</v>
      </c>
      <c r="F14" s="73" t="s">
        <v>198</v>
      </c>
    </row>
    <row r="15" spans="1:6" x14ac:dyDescent="0.3">
      <c r="A15" s="67"/>
      <c r="B15" s="67"/>
      <c r="C15" s="67"/>
      <c r="D15" s="67"/>
      <c r="E15" s="67" t="s">
        <v>214</v>
      </c>
      <c r="F15" s="73" t="s">
        <v>215</v>
      </c>
    </row>
    <row r="16" spans="1:6" x14ac:dyDescent="0.3">
      <c r="A16" s="67"/>
      <c r="B16" s="67"/>
      <c r="C16" s="67"/>
      <c r="D16" s="67"/>
      <c r="E16" s="67" t="s">
        <v>122</v>
      </c>
      <c r="F16" s="73" t="s">
        <v>206</v>
      </c>
    </row>
    <row r="17" spans="1:10" x14ac:dyDescent="0.3">
      <c r="A17" s="67"/>
      <c r="B17" s="67"/>
      <c r="C17" s="67"/>
      <c r="D17" s="67"/>
      <c r="E17" s="72" t="s">
        <v>76</v>
      </c>
      <c r="F17" s="73" t="s">
        <v>210</v>
      </c>
    </row>
    <row r="18" spans="1:10" x14ac:dyDescent="0.3">
      <c r="A18" s="67"/>
      <c r="B18" s="67"/>
      <c r="C18" s="67"/>
      <c r="D18" s="67"/>
      <c r="E18" s="74" t="s">
        <v>115</v>
      </c>
      <c r="F18" s="73" t="s">
        <v>199</v>
      </c>
    </row>
    <row r="19" spans="1:10" x14ac:dyDescent="0.3">
      <c r="A19" s="67"/>
      <c r="B19" s="67"/>
      <c r="C19" s="67"/>
      <c r="D19" s="67"/>
      <c r="E19" s="67" t="s">
        <v>36</v>
      </c>
      <c r="F19" s="73" t="s">
        <v>207</v>
      </c>
    </row>
    <row r="20" spans="1:10" x14ac:dyDescent="0.3">
      <c r="A20" s="68"/>
      <c r="B20" s="68"/>
      <c r="C20" s="68"/>
      <c r="D20" s="68"/>
      <c r="E20" s="75" t="s">
        <v>65</v>
      </c>
      <c r="F20" s="76" t="s">
        <v>200</v>
      </c>
    </row>
    <row r="21" spans="1:10" x14ac:dyDescent="0.3">
      <c r="B21" s="4"/>
      <c r="E21" s="56"/>
    </row>
    <row r="22" spans="1:10" x14ac:dyDescent="0.3">
      <c r="B22" s="4"/>
      <c r="E22" s="56"/>
    </row>
    <row r="23" spans="1:10" ht="23.4" customHeight="1" x14ac:dyDescent="0.45">
      <c r="A23" s="85" t="s">
        <v>184</v>
      </c>
      <c r="B23" s="4"/>
      <c r="C23" s="54"/>
      <c r="D23" s="54"/>
      <c r="E23" s="64"/>
      <c r="F23" s="31"/>
      <c r="G23" s="55"/>
    </row>
    <row r="24" spans="1:10" ht="14.4" customHeight="1" x14ac:dyDescent="0.3">
      <c r="B24" s="4"/>
      <c r="E24" s="57"/>
    </row>
    <row r="25" spans="1:10" ht="14.4" customHeight="1" x14ac:dyDescent="0.3">
      <c r="A25" s="77" t="s">
        <v>173</v>
      </c>
      <c r="B25" s="4">
        <v>2</v>
      </c>
      <c r="C25" s="58"/>
      <c r="D25" s="4"/>
      <c r="E25" s="4"/>
      <c r="F25" s="4"/>
      <c r="G25" s="78"/>
      <c r="H25" s="4"/>
      <c r="I25" s="4"/>
      <c r="J25" s="4"/>
    </row>
    <row r="26" spans="1:10" ht="14.4" customHeight="1" x14ac:dyDescent="0.3">
      <c r="A26" s="77" t="s">
        <v>174</v>
      </c>
      <c r="B26" s="4" t="s">
        <v>139</v>
      </c>
      <c r="C26" s="58"/>
      <c r="D26" s="4"/>
      <c r="E26" s="4"/>
      <c r="F26" s="4"/>
      <c r="G26" s="30"/>
      <c r="H26" s="30"/>
      <c r="I26" s="30"/>
      <c r="J26" s="30"/>
    </row>
    <row r="27" spans="1:10" ht="14.4" customHeight="1" x14ac:dyDescent="0.3">
      <c r="A27" s="77" t="s">
        <v>175</v>
      </c>
      <c r="B27" s="4" t="s">
        <v>3</v>
      </c>
      <c r="C27" s="58"/>
      <c r="D27" s="4"/>
      <c r="E27" s="4"/>
      <c r="F27" s="4"/>
      <c r="G27" s="4"/>
      <c r="H27" s="4"/>
      <c r="I27" s="4"/>
      <c r="J27" s="4"/>
    </row>
    <row r="28" spans="1:10" ht="14.4" customHeight="1" x14ac:dyDescent="0.3">
      <c r="A28" s="77" t="s">
        <v>177</v>
      </c>
      <c r="B28" s="4" t="s">
        <v>15</v>
      </c>
      <c r="C28" s="4"/>
      <c r="D28" s="4"/>
      <c r="E28" s="4"/>
      <c r="F28" s="4"/>
      <c r="G28" s="4"/>
      <c r="H28" s="4"/>
      <c r="I28" s="4"/>
      <c r="J28" s="4"/>
    </row>
    <row r="29" spans="1:10" ht="14.4" customHeight="1" x14ac:dyDescent="0.3">
      <c r="A29" s="77" t="s">
        <v>178</v>
      </c>
      <c r="B29" s="4">
        <f>IF(Instant!B8="09:00-10:00",1,IF(Instant!B8="10:00-11:00",2,IF(Instant!B8="11:00-12:00",3,IF(Instant!B8="12:00-01:00",4,IF(Instant!B8="01:00-02:00",5,IF(Instant!B8="02:00-03:00",6,IF(Instant!B8="03:00-04:00",7,IF(Instant!B8="04:00-05:00",8,IF(Instant!B8="05:00-06:00",9,"NA")))))))))</f>
        <v>3</v>
      </c>
      <c r="C29" s="4"/>
      <c r="D29" s="4"/>
      <c r="E29" s="4"/>
      <c r="F29" s="4"/>
      <c r="G29" s="4"/>
      <c r="H29" s="4"/>
      <c r="I29" s="4"/>
      <c r="J29" s="4"/>
    </row>
    <row r="30" spans="1:10" ht="14.4" customHeight="1" x14ac:dyDescent="0.3">
      <c r="A30" s="77" t="s">
        <v>179</v>
      </c>
      <c r="B30" s="4">
        <f>IF(Instant!B7="MONDAY",1,IF(Instant!B7="TUESDAY",2,IF(Instant!B7="WEDNESDAY",3,IF(Instant!B7="THURSDAY",4,IF(Instant!B7="FRIDAY",5,IF(Instant!B7="SATURDAY",6,"NA"))))))</f>
        <v>6</v>
      </c>
      <c r="C30" s="4"/>
      <c r="D30" s="4"/>
      <c r="E30" s="4"/>
      <c r="F30" s="4"/>
      <c r="G30" s="4"/>
      <c r="H30" s="4"/>
      <c r="I30" s="4"/>
      <c r="J30" s="4"/>
    </row>
    <row r="31" spans="1:10" ht="14.4" customHeight="1" x14ac:dyDescent="0.3">
      <c r="A31" s="77" t="s">
        <v>180</v>
      </c>
      <c r="B31" s="4">
        <f>IF(AND(Instant!B5=2,Instant!B6="BA"),1,IF(AND(Instant!B5=4,Instant!B6="BA"),2,IF(AND(Instant!B5=2,Instant!B6="GEN"),3,IF(AND(Instant!B5=4,Instant!B6="GEN"),4,IF(AND(Instant!B5=2,Instant!B6="HC"),5,IF(AND(Instant!B5=4,Instant!B6="HC"),6,"NA"))))))</f>
        <v>5</v>
      </c>
      <c r="C31" s="4"/>
      <c r="D31" s="4"/>
      <c r="E31" s="4"/>
      <c r="F31" s="4"/>
      <c r="G31" s="4"/>
      <c r="H31" s="4"/>
      <c r="I31" s="4"/>
      <c r="J31" s="4"/>
    </row>
    <row r="32" spans="1:10" ht="14.4" customHeight="1" x14ac:dyDescent="0.3">
      <c r="A32" s="79"/>
      <c r="B32" s="4"/>
      <c r="C32" s="4"/>
      <c r="D32" s="4"/>
      <c r="E32" s="59"/>
      <c r="F32" s="4"/>
      <c r="G32" s="4"/>
      <c r="H32" s="4"/>
      <c r="I32" s="4"/>
      <c r="J32" s="4"/>
    </row>
    <row r="33" spans="1:10" ht="19.95" customHeight="1" x14ac:dyDescent="0.3">
      <c r="A33" s="86" t="s">
        <v>177</v>
      </c>
      <c r="B33" s="59"/>
      <c r="C33" s="59"/>
      <c r="D33" s="59"/>
      <c r="E33" s="4"/>
      <c r="F33" s="59"/>
      <c r="G33" s="59"/>
      <c r="H33" s="59"/>
      <c r="I33" s="59"/>
      <c r="J33" s="4"/>
    </row>
    <row r="34" spans="1:10" ht="14.4" customHeight="1" x14ac:dyDescent="0.3">
      <c r="A34" s="79"/>
      <c r="B34" s="4"/>
      <c r="C34" s="4"/>
      <c r="D34" s="4"/>
      <c r="E34" s="58"/>
      <c r="F34" s="4"/>
      <c r="G34" s="4"/>
      <c r="H34" s="4"/>
      <c r="I34" s="4"/>
      <c r="J34" s="4"/>
    </row>
    <row r="35" spans="1:10" ht="14.4" customHeight="1" x14ac:dyDescent="0.3">
      <c r="A35" s="80" t="s">
        <v>173</v>
      </c>
      <c r="B35" s="4">
        <v>2</v>
      </c>
      <c r="C35" s="58"/>
      <c r="D35" s="58"/>
      <c r="E35" s="4"/>
      <c r="F35" s="58"/>
      <c r="G35" s="58"/>
      <c r="H35" s="58"/>
      <c r="I35" s="58"/>
      <c r="J35" s="4"/>
    </row>
    <row r="36" spans="1:10" ht="14.4" customHeight="1" x14ac:dyDescent="0.3">
      <c r="A36" s="80" t="s">
        <v>174</v>
      </c>
      <c r="B36" s="4" t="s">
        <v>139</v>
      </c>
      <c r="C36" s="58"/>
      <c r="D36" s="4"/>
      <c r="E36" s="4"/>
      <c r="F36" s="4"/>
      <c r="G36" s="4"/>
      <c r="H36" s="4"/>
      <c r="I36" s="4"/>
      <c r="J36" s="4"/>
    </row>
    <row r="37" spans="1:10" ht="14.4" customHeight="1" x14ac:dyDescent="0.3">
      <c r="A37" s="80" t="s">
        <v>177</v>
      </c>
      <c r="B37" s="4" t="s">
        <v>9</v>
      </c>
      <c r="C37" s="58"/>
      <c r="D37" s="4"/>
      <c r="E37" s="4"/>
      <c r="F37" s="4"/>
      <c r="G37" s="4"/>
      <c r="H37" s="4"/>
      <c r="I37" s="4"/>
      <c r="J37" s="30"/>
    </row>
    <row r="38" spans="1:10" ht="14.4" customHeight="1" x14ac:dyDescent="0.3">
      <c r="A38" s="80" t="s">
        <v>178</v>
      </c>
      <c r="B38" s="4">
        <f>IF('@Time'!B6="09:00-10:00",1,IF('@Time'!B6="10:00-11:00",2,IF('@Time'!B6="11:00-12:00",3,IF('@Time'!B6="12:00-01:00",4,IF('@Time'!B6="01:00-02:00",5,IF('@Time'!B6="02:00-03:00",6,IF('@Time'!B6="03:00-04:00",7,IF('@Time'!B6="04:00-05:00",8,IF('@Time'!B6="05:00-06:00",9,"NA")))))))))</f>
        <v>1</v>
      </c>
      <c r="C38" s="58"/>
      <c r="D38" s="4"/>
      <c r="E38" s="4"/>
      <c r="F38" s="4"/>
      <c r="G38" s="4"/>
      <c r="H38" s="4"/>
      <c r="I38" s="4"/>
      <c r="J38" s="4"/>
    </row>
    <row r="39" spans="1:10" ht="14.4" customHeight="1" x14ac:dyDescent="0.3">
      <c r="A39" s="80" t="s">
        <v>179</v>
      </c>
      <c r="B39" s="4">
        <v>0</v>
      </c>
      <c r="C39" s="4"/>
      <c r="D39" s="4"/>
      <c r="E39" s="4"/>
      <c r="F39" s="4"/>
      <c r="G39" s="4"/>
      <c r="H39" s="4"/>
      <c r="I39" s="4"/>
      <c r="J39" s="4"/>
    </row>
    <row r="40" spans="1:10" ht="14.4" customHeight="1" x14ac:dyDescent="0.3">
      <c r="A40" s="30"/>
      <c r="B40" s="4"/>
      <c r="C40" s="4"/>
      <c r="D40" s="4"/>
      <c r="E40" s="59"/>
      <c r="F40" s="4"/>
      <c r="G40" s="4"/>
      <c r="H40" s="4"/>
      <c r="I40" s="4"/>
      <c r="J40" s="4"/>
    </row>
    <row r="41" spans="1:10" ht="19.2" customHeight="1" x14ac:dyDescent="0.3">
      <c r="A41" s="87" t="s">
        <v>175</v>
      </c>
      <c r="B41" s="59"/>
      <c r="C41" s="59"/>
      <c r="D41" s="4"/>
      <c r="E41" s="4"/>
      <c r="F41" s="4"/>
      <c r="G41" s="4"/>
    </row>
    <row r="42" spans="1:10" ht="14.4" customHeight="1" x14ac:dyDescent="0.3">
      <c r="A42" s="30"/>
      <c r="B42" s="4"/>
      <c r="C42" s="4"/>
      <c r="D42" s="4"/>
      <c r="E42" s="4"/>
      <c r="F42" s="4"/>
      <c r="G42" s="4"/>
    </row>
    <row r="43" spans="1:10" ht="14.4" customHeight="1" x14ac:dyDescent="0.3">
      <c r="A43" s="81" t="s">
        <v>173</v>
      </c>
      <c r="B43" s="4">
        <v>2</v>
      </c>
      <c r="C43" s="58"/>
      <c r="D43" s="4"/>
      <c r="E43" s="4"/>
      <c r="F43" s="4"/>
      <c r="G43" s="4"/>
    </row>
    <row r="44" spans="1:10" ht="14.4" customHeight="1" x14ac:dyDescent="0.3">
      <c r="A44" s="82" t="s">
        <v>174</v>
      </c>
      <c r="B44" s="4" t="s">
        <v>141</v>
      </c>
      <c r="C44" s="58"/>
      <c r="D44" s="4"/>
      <c r="E44" s="4"/>
      <c r="F44" s="4"/>
      <c r="G44" s="4"/>
      <c r="H44" s="4"/>
      <c r="I44" s="4"/>
      <c r="J44" s="4"/>
    </row>
    <row r="45" spans="1:10" x14ac:dyDescent="0.3">
      <c r="A45" s="82" t="s">
        <v>175</v>
      </c>
      <c r="B45" s="4" t="s">
        <v>5</v>
      </c>
      <c r="C45" s="58"/>
      <c r="D45" s="4"/>
      <c r="E45" s="4"/>
      <c r="F45" s="4"/>
      <c r="G45" s="4"/>
      <c r="H45" s="4"/>
      <c r="I45" s="4"/>
      <c r="J45" s="4"/>
    </row>
    <row r="46" spans="1:10" x14ac:dyDescent="0.3">
      <c r="A46" s="82" t="s">
        <v>178</v>
      </c>
      <c r="B46" s="4">
        <v>0</v>
      </c>
      <c r="C46" s="58"/>
      <c r="D46" s="4"/>
      <c r="E46" s="4"/>
      <c r="F46" s="4"/>
      <c r="G46" s="4"/>
      <c r="H46" s="4"/>
      <c r="I46" s="4"/>
      <c r="J46" s="4"/>
    </row>
    <row r="47" spans="1:10" ht="14.4" customHeight="1" x14ac:dyDescent="0.3">
      <c r="A47" s="82" t="s">
        <v>181</v>
      </c>
      <c r="B47" s="4">
        <f>IF('@Day'!B6="MONDAY",1,IF('@Day'!B6="TUESDAY",2,IF('@Day'!B6="WEDNESDAY",3,IF('@Day'!B6="THURSDAY",4,IF('@Day'!B6="FRIDAY",5,IF('@Day'!B6="SATURDAY",6,"NA"))))))</f>
        <v>3</v>
      </c>
      <c r="C47" s="58"/>
      <c r="D47" s="4"/>
      <c r="E47" s="4"/>
      <c r="F47" s="4"/>
      <c r="G47" s="4"/>
      <c r="H47" s="4"/>
      <c r="I47" s="4"/>
      <c r="J47" s="4"/>
    </row>
    <row r="48" spans="1:10" x14ac:dyDescent="0.3">
      <c r="A48" s="4"/>
      <c r="B48" s="4"/>
      <c r="C48" s="58"/>
      <c r="D48" s="4"/>
      <c r="E48" s="4"/>
      <c r="F48" s="4"/>
      <c r="G48" s="4"/>
      <c r="H48" s="4"/>
      <c r="I48" s="4"/>
      <c r="J48" s="4"/>
    </row>
    <row r="49" spans="1:10" x14ac:dyDescent="0.3">
      <c r="A49" s="4"/>
      <c r="B49" s="4"/>
      <c r="C49" s="58"/>
      <c r="D49" s="4"/>
      <c r="E49" s="4"/>
      <c r="F49" s="4"/>
      <c r="G49" s="4"/>
      <c r="H49" s="4"/>
      <c r="I49" s="4"/>
      <c r="J49" s="4"/>
    </row>
    <row r="50" spans="1:10" x14ac:dyDescent="0.3">
      <c r="A50" s="4"/>
      <c r="B50" s="4"/>
      <c r="C50" s="58"/>
      <c r="D50" s="4"/>
      <c r="E50" s="4"/>
      <c r="F50" s="4"/>
      <c r="G50" s="4"/>
      <c r="H50" s="4"/>
      <c r="I50" s="4"/>
      <c r="J50" s="4"/>
    </row>
    <row r="51" spans="1:10" x14ac:dyDescent="0.3">
      <c r="A51" s="4"/>
      <c r="B51" s="4"/>
      <c r="C51" s="58"/>
      <c r="D51" s="4"/>
      <c r="E51" s="4"/>
      <c r="F51" s="4"/>
      <c r="G51" s="4"/>
      <c r="H51" s="4"/>
      <c r="I51" s="4"/>
      <c r="J51" s="4"/>
    </row>
    <row r="52" spans="1:10" x14ac:dyDescent="0.3">
      <c r="A52" s="4"/>
      <c r="B52" s="4"/>
      <c r="C52" s="58"/>
      <c r="D52" s="4"/>
      <c r="E52" s="4"/>
      <c r="F52" s="4"/>
      <c r="G52" s="4"/>
      <c r="H52" s="4"/>
      <c r="I52" s="4"/>
      <c r="J52" s="4"/>
    </row>
    <row r="53" spans="1:10" x14ac:dyDescent="0.3">
      <c r="A53" s="4"/>
      <c r="B53" s="4"/>
      <c r="C53" s="4"/>
      <c r="D53" s="4"/>
      <c r="E53" s="4"/>
      <c r="F53" s="4"/>
      <c r="G53" s="4"/>
      <c r="H53" s="4"/>
      <c r="I53" s="4"/>
      <c r="J53" s="4"/>
    </row>
    <row r="54" spans="1:10" ht="14.4" customHeight="1" x14ac:dyDescent="0.3">
      <c r="A54" s="131" t="s">
        <v>188</v>
      </c>
      <c r="B54" s="4"/>
      <c r="C54" s="4"/>
      <c r="D54" s="4"/>
      <c r="E54" s="4"/>
      <c r="F54" s="4"/>
      <c r="G54" s="4"/>
      <c r="H54" s="4"/>
      <c r="I54" s="4"/>
      <c r="J54" s="4"/>
    </row>
    <row r="55" spans="1:10" x14ac:dyDescent="0.3">
      <c r="A55" s="131"/>
      <c r="B55" s="4"/>
      <c r="C55" s="4"/>
      <c r="D55" s="4"/>
      <c r="E55" s="4"/>
      <c r="F55" s="4"/>
      <c r="G55" s="4"/>
      <c r="H55" s="4"/>
      <c r="I55" s="4"/>
      <c r="J55" s="4"/>
    </row>
    <row r="56" spans="1:10" x14ac:dyDescent="0.3">
      <c r="A56" s="4"/>
      <c r="B56" s="4"/>
      <c r="C56" s="4"/>
      <c r="D56" s="4"/>
      <c r="E56" s="4"/>
      <c r="F56" s="4"/>
      <c r="G56" s="4"/>
      <c r="H56" s="4"/>
      <c r="I56" s="4"/>
      <c r="J56" s="4"/>
    </row>
    <row r="57" spans="1:10" x14ac:dyDescent="0.3">
      <c r="A57" s="83" t="s">
        <v>188</v>
      </c>
      <c r="B57" s="4" t="str">
        <f>FAC!B4</f>
        <v>Dr. I. Loknandha reddy</v>
      </c>
      <c r="C57" s="4"/>
      <c r="D57" s="4"/>
      <c r="E57" s="4"/>
      <c r="F57" s="4"/>
      <c r="G57" s="4"/>
      <c r="H57" s="4"/>
      <c r="I57" s="4"/>
      <c r="J57" s="4"/>
    </row>
    <row r="58" spans="1:10" ht="15.6" x14ac:dyDescent="0.3">
      <c r="A58" s="84" t="s">
        <v>217</v>
      </c>
      <c r="B58" s="4" t="str">
        <f>IF(B57=E4,"BC",IF(B57=E5,"DJ",IF(B57=E6,"IL",IF(B57=E7,"KR",IF(B57=E8,"PM",IF(B57=E9,"PK",IF(B57=E10,"RP",IF(B57=E11,"RK",IF(B57=E12,"SS",IF(B57=E13,"DV",IF(B57=E14,"PS",IF(B57=E15,"BN",IF(B57=E16,"CS",IF(B57=E17,"GV",IF(B57=E18,"PJ",IF(B57=E19,"MJ",IF(B57=E20,"RK")))))))))))))))))</f>
        <v>IL</v>
      </c>
      <c r="C58" s="4"/>
      <c r="D58" s="28"/>
      <c r="E58" s="28" t="s">
        <v>163</v>
      </c>
      <c r="F58" s="28" t="s">
        <v>164</v>
      </c>
      <c r="G58" s="28" t="s">
        <v>165</v>
      </c>
      <c r="H58" s="28" t="s">
        <v>166</v>
      </c>
      <c r="I58" s="28" t="s">
        <v>167</v>
      </c>
      <c r="J58" s="28" t="s">
        <v>168</v>
      </c>
    </row>
    <row r="59" spans="1:10" x14ac:dyDescent="0.3">
      <c r="A59" s="4"/>
      <c r="B59" s="4"/>
      <c r="C59" s="4"/>
      <c r="D59" s="28" t="s">
        <v>9</v>
      </c>
      <c r="E59" s="4" t="str">
        <f>_xlfn.CONCAT($B$58,"M1")</f>
        <v>ILM1</v>
      </c>
      <c r="F59" s="4" t="str">
        <f>_xlfn.CONCAT($B$58,"T1")</f>
        <v>ILT1</v>
      </c>
      <c r="G59" s="4" t="str">
        <f>_xlfn.CONCAT($B$58,"W1")</f>
        <v>ILW1</v>
      </c>
      <c r="H59" s="4" t="str">
        <f>_xlfn.CONCAT($B$58,"TH1")</f>
        <v>ILTH1</v>
      </c>
      <c r="I59" s="4" t="str">
        <f>_xlfn.CONCAT($B$58,"F1")</f>
        <v>ILF1</v>
      </c>
      <c r="J59" s="4" t="str">
        <f>_xlfn.CONCAT($B$58,"S1")</f>
        <v>ILS1</v>
      </c>
    </row>
    <row r="60" spans="1:10" x14ac:dyDescent="0.3">
      <c r="A60" s="4"/>
      <c r="B60" s="4"/>
      <c r="C60" s="4"/>
      <c r="D60" s="28" t="s">
        <v>13</v>
      </c>
      <c r="E60" s="4" t="str">
        <f>_xlfn.CONCAT($B$58,"M2")</f>
        <v>ILM2</v>
      </c>
      <c r="F60" s="4" t="str">
        <f>_xlfn.CONCAT($B$58,"T2")</f>
        <v>ILT2</v>
      </c>
      <c r="G60" s="4" t="str">
        <f>_xlfn.CONCAT($B$58,"W2")</f>
        <v>ILW2</v>
      </c>
      <c r="H60" s="4" t="str">
        <f>_xlfn.CONCAT($B$58,"TH2")</f>
        <v>ILTH2</v>
      </c>
      <c r="I60" s="4" t="str">
        <f>_xlfn.CONCAT($B$58,"F2")</f>
        <v>ILF2</v>
      </c>
      <c r="J60" s="4" t="str">
        <f>_xlfn.CONCAT($B$58,"S2")</f>
        <v>ILS2</v>
      </c>
    </row>
    <row r="61" spans="1:10" x14ac:dyDescent="0.3">
      <c r="A61" s="4"/>
      <c r="B61" s="4"/>
      <c r="C61" s="4"/>
      <c r="D61" s="28" t="s">
        <v>15</v>
      </c>
      <c r="E61" s="4" t="str">
        <f>_xlfn.CONCAT($B$58,"M3")</f>
        <v>ILM3</v>
      </c>
      <c r="F61" s="4" t="str">
        <f>_xlfn.CONCAT($B$58,"T3")</f>
        <v>ILT3</v>
      </c>
      <c r="G61" s="4" t="str">
        <f>_xlfn.CONCAT($B$58,"W3")</f>
        <v>ILW3</v>
      </c>
      <c r="H61" s="4" t="str">
        <f>_xlfn.CONCAT($B$58,"TH3")</f>
        <v>ILTH3</v>
      </c>
      <c r="I61" s="4" t="str">
        <f>_xlfn.CONCAT($B$58,"F3")</f>
        <v>ILF3</v>
      </c>
      <c r="J61" s="4" t="str">
        <f>_xlfn.CONCAT($B$58,"S3")</f>
        <v>ILS3</v>
      </c>
    </row>
    <row r="62" spans="1:10" x14ac:dyDescent="0.3">
      <c r="A62" s="4"/>
      <c r="B62" s="4"/>
      <c r="C62" s="4"/>
      <c r="D62" s="28" t="s">
        <v>19</v>
      </c>
      <c r="E62" s="4" t="str">
        <f>_xlfn.CONCAT($B$58,"M4")</f>
        <v>ILM4</v>
      </c>
      <c r="F62" s="4" t="str">
        <f>_xlfn.CONCAT($B$58,"T4")</f>
        <v>ILT4</v>
      </c>
      <c r="G62" s="4" t="str">
        <f>_xlfn.CONCAT($B$58,"W4")</f>
        <v>ILW4</v>
      </c>
      <c r="H62" s="4" t="str">
        <f>_xlfn.CONCAT($B$58,"TH4")</f>
        <v>ILTH4</v>
      </c>
      <c r="I62" s="4" t="str">
        <f>_xlfn.CONCAT($B$58,"F4")</f>
        <v>ILF4</v>
      </c>
      <c r="J62" s="4" t="str">
        <f>_xlfn.CONCAT($B$58,"S4")</f>
        <v>ILS4</v>
      </c>
    </row>
    <row r="63" spans="1:10" x14ac:dyDescent="0.3">
      <c r="A63" s="4"/>
      <c r="B63" s="4"/>
      <c r="C63" s="4"/>
      <c r="D63" s="28" t="s">
        <v>152</v>
      </c>
      <c r="E63" s="4" t="str">
        <f>_xlfn.CONCAT($B$58,"M5")</f>
        <v>ILM5</v>
      </c>
      <c r="F63" s="4" t="str">
        <f>_xlfn.CONCAT($B$58,"T5")</f>
        <v>ILT5</v>
      </c>
      <c r="G63" s="4" t="str">
        <f>_xlfn.CONCAT($B$58,"W5")</f>
        <v>ILW5</v>
      </c>
      <c r="H63" s="4" t="str">
        <f>_xlfn.CONCAT($B$58,"TH5")</f>
        <v>ILTH5</v>
      </c>
      <c r="I63" s="4" t="str">
        <f>_xlfn.CONCAT($B$58,"F5")</f>
        <v>ILF5</v>
      </c>
      <c r="J63" s="4" t="str">
        <f>_xlfn.CONCAT($B$58,"S5")</f>
        <v>ILS5</v>
      </c>
    </row>
    <row r="64" spans="1:10" x14ac:dyDescent="0.3">
      <c r="A64" s="4"/>
      <c r="B64" s="4"/>
      <c r="C64" s="4"/>
      <c r="D64" s="28" t="s">
        <v>22</v>
      </c>
      <c r="E64" s="4" t="str">
        <f>_xlfn.CONCAT($B$58,"M6")</f>
        <v>ILM6</v>
      </c>
      <c r="F64" s="4" t="str">
        <f>_xlfn.CONCAT($B$58,"T6")</f>
        <v>ILT6</v>
      </c>
      <c r="G64" s="4" t="str">
        <f>_xlfn.CONCAT($B$58,"W6")</f>
        <v>ILW6</v>
      </c>
      <c r="H64" s="4" t="str">
        <f>_xlfn.CONCAT($B$58,"TH6")</f>
        <v>ILTH6</v>
      </c>
      <c r="I64" s="4" t="str">
        <f>_xlfn.CONCAT($B$58,"F6")</f>
        <v>ILF6</v>
      </c>
      <c r="J64" s="4" t="str">
        <f>_xlfn.CONCAT($B$58,"S6")</f>
        <v>ILS6</v>
      </c>
    </row>
    <row r="65" spans="1:10" x14ac:dyDescent="0.3">
      <c r="A65" s="4"/>
      <c r="B65" s="4"/>
      <c r="C65" s="4"/>
      <c r="D65" s="28" t="s">
        <v>25</v>
      </c>
      <c r="E65" s="4" t="str">
        <f>_xlfn.CONCAT($B$58,"M7")</f>
        <v>ILM7</v>
      </c>
      <c r="F65" s="4" t="str">
        <f>_xlfn.CONCAT($B$58,"T7")</f>
        <v>ILT7</v>
      </c>
      <c r="G65" s="4" t="str">
        <f>_xlfn.CONCAT($B$58,"W7")</f>
        <v>ILW7</v>
      </c>
      <c r="H65" s="4" t="str">
        <f>_xlfn.CONCAT($B$58,"TH7")</f>
        <v>ILTH7</v>
      </c>
      <c r="I65" s="4" t="str">
        <f>_xlfn.CONCAT($B$58,"F7")</f>
        <v>ILF7</v>
      </c>
      <c r="J65" s="4" t="str">
        <f>_xlfn.CONCAT($B$58,"S7")</f>
        <v>ILS7</v>
      </c>
    </row>
    <row r="66" spans="1:10" x14ac:dyDescent="0.3">
      <c r="A66" s="4"/>
      <c r="B66" s="4"/>
      <c r="C66" s="4"/>
      <c r="D66" s="28" t="s">
        <v>26</v>
      </c>
      <c r="E66" s="4" t="str">
        <f>_xlfn.CONCAT($B$58,"M8")</f>
        <v>ILM8</v>
      </c>
      <c r="F66" s="4" t="str">
        <f>_xlfn.CONCAT($B$58,"T8")</f>
        <v>ILT8</v>
      </c>
      <c r="G66" s="4" t="str">
        <f>_xlfn.CONCAT($B$58,"W8")</f>
        <v>ILW8</v>
      </c>
      <c r="H66" s="4" t="str">
        <f>_xlfn.CONCAT($B$58,"TH8")</f>
        <v>ILTH8</v>
      </c>
      <c r="I66" s="4" t="str">
        <f>_xlfn.CONCAT($B$58,"F8")</f>
        <v>ILF8</v>
      </c>
      <c r="J66" s="4" t="str">
        <f>_xlfn.CONCAT($B$58,"S8")</f>
        <v>ILS8</v>
      </c>
    </row>
    <row r="67" spans="1:10" x14ac:dyDescent="0.3">
      <c r="A67" s="4"/>
      <c r="B67" s="4"/>
      <c r="C67" s="4"/>
      <c r="D67" s="28" t="s">
        <v>29</v>
      </c>
      <c r="E67" s="4" t="str">
        <f>_xlfn.CONCAT($B$58,"M9")</f>
        <v>ILM9</v>
      </c>
      <c r="F67" s="4" t="str">
        <f>_xlfn.CONCAT($B$58,"T9")</f>
        <v>ILT9</v>
      </c>
      <c r="G67" s="4" t="str">
        <f>_xlfn.CONCAT($B$58,"W9")</f>
        <v>ILW9</v>
      </c>
      <c r="H67" s="4" t="str">
        <f>_xlfn.CONCAT($B$58,"TH9")</f>
        <v>ILTH9</v>
      </c>
      <c r="I67" s="4" t="str">
        <f>_xlfn.CONCAT($B$58,"F9")</f>
        <v>ILF9</v>
      </c>
      <c r="J67" s="4" t="str">
        <f>_xlfn.CONCAT($B$58,"S9")</f>
        <v>ILS9</v>
      </c>
    </row>
    <row r="68" spans="1:10" x14ac:dyDescent="0.3">
      <c r="A68" s="4"/>
      <c r="B68" s="4"/>
      <c r="C68" s="4"/>
      <c r="D68" s="58"/>
      <c r="E68" s="4"/>
      <c r="F68" s="4"/>
      <c r="G68" s="4"/>
      <c r="H68" s="4"/>
      <c r="I68" s="4"/>
      <c r="J68" s="4"/>
    </row>
    <row r="82" spans="1:2" x14ac:dyDescent="0.3">
      <c r="A82" s="4"/>
      <c r="B82" s="4"/>
    </row>
    <row r="83" spans="1:2" x14ac:dyDescent="0.3">
      <c r="A83" s="4"/>
      <c r="B83" s="4"/>
    </row>
    <row r="84" spans="1:2" x14ac:dyDescent="0.3">
      <c r="A84" s="4"/>
      <c r="B84" s="4"/>
    </row>
    <row r="85" spans="1:2" x14ac:dyDescent="0.3">
      <c r="A85" s="4"/>
      <c r="B85" s="4"/>
    </row>
    <row r="86" spans="1:2" x14ac:dyDescent="0.3">
      <c r="A86" s="4"/>
      <c r="B86" s="4"/>
    </row>
    <row r="87" spans="1:2" x14ac:dyDescent="0.3">
      <c r="A87" s="4"/>
      <c r="B87" s="4"/>
    </row>
    <row r="88" spans="1:2" x14ac:dyDescent="0.3">
      <c r="A88" s="4"/>
      <c r="B88" s="4"/>
    </row>
    <row r="89" spans="1:2" x14ac:dyDescent="0.3">
      <c r="A89" s="4"/>
      <c r="B89" s="4"/>
    </row>
    <row r="90" spans="1:2" x14ac:dyDescent="0.3">
      <c r="A90" s="4"/>
      <c r="B90" s="4"/>
    </row>
    <row r="91" spans="1:2" x14ac:dyDescent="0.3">
      <c r="A91" s="4"/>
      <c r="B91" s="4"/>
    </row>
    <row r="92" spans="1:2" x14ac:dyDescent="0.3">
      <c r="A92" s="4"/>
      <c r="B92" s="4"/>
    </row>
    <row r="93" spans="1:2" x14ac:dyDescent="0.3">
      <c r="A93" s="4"/>
      <c r="B93" s="4"/>
    </row>
    <row r="94" spans="1:2" x14ac:dyDescent="0.3">
      <c r="A94" s="4"/>
      <c r="B94" s="4"/>
    </row>
    <row r="95" spans="1:2" x14ac:dyDescent="0.3">
      <c r="A95" s="4"/>
      <c r="B95" s="4"/>
    </row>
    <row r="96" spans="1:2" x14ac:dyDescent="0.3">
      <c r="A96" s="4"/>
      <c r="B96" s="4"/>
    </row>
    <row r="97" spans="1:2" x14ac:dyDescent="0.3">
      <c r="A97" s="4"/>
      <c r="B97" s="4"/>
    </row>
    <row r="98" spans="1:2" x14ac:dyDescent="0.3">
      <c r="A98" s="4"/>
      <c r="B98" s="4"/>
    </row>
    <row r="99" spans="1:2" x14ac:dyDescent="0.3">
      <c r="A99" s="4"/>
      <c r="B99" s="4"/>
    </row>
    <row r="100" spans="1:2" x14ac:dyDescent="0.3">
      <c r="A100" s="4"/>
      <c r="B100" s="4"/>
    </row>
    <row r="101" spans="1:2" x14ac:dyDescent="0.3">
      <c r="A101" s="4"/>
      <c r="B101" s="4"/>
    </row>
    <row r="102" spans="1:2" x14ac:dyDescent="0.3">
      <c r="A102" s="4"/>
      <c r="B102" s="4"/>
    </row>
    <row r="103" spans="1:2" x14ac:dyDescent="0.3">
      <c r="A103" s="4"/>
      <c r="B103" s="4"/>
    </row>
    <row r="104" spans="1:2" x14ac:dyDescent="0.3">
      <c r="A104" s="4"/>
      <c r="B104" s="4"/>
    </row>
    <row r="105" spans="1:2" x14ac:dyDescent="0.3">
      <c r="A105" s="4"/>
      <c r="B105" s="4"/>
    </row>
    <row r="106" spans="1:2" x14ac:dyDescent="0.3">
      <c r="A106" s="4"/>
      <c r="B106" s="4"/>
    </row>
    <row r="107" spans="1:2" x14ac:dyDescent="0.3">
      <c r="A107" s="4"/>
      <c r="B107" s="4"/>
    </row>
    <row r="108" spans="1:2" x14ac:dyDescent="0.3">
      <c r="A108" s="4"/>
      <c r="B108" s="4"/>
    </row>
    <row r="109" spans="1:2" x14ac:dyDescent="0.3">
      <c r="A109" s="4"/>
      <c r="B109" s="4"/>
    </row>
    <row r="110" spans="1:2" x14ac:dyDescent="0.3">
      <c r="A110" s="4"/>
      <c r="B110" s="4"/>
    </row>
    <row r="111" spans="1:2" x14ac:dyDescent="0.3">
      <c r="A111" s="4"/>
      <c r="B111" s="4"/>
    </row>
    <row r="112" spans="1:2" x14ac:dyDescent="0.3">
      <c r="A112" s="4"/>
      <c r="B112" s="4"/>
    </row>
  </sheetData>
  <sortState xmlns:xlrd2="http://schemas.microsoft.com/office/spreadsheetml/2017/richdata2" ref="A4:F20">
    <sortCondition ref="E4:E20"/>
  </sortState>
  <mergeCells count="1">
    <mergeCell ref="A54:A55"/>
  </mergeCells>
  <phoneticPr fontId="5" type="noConversion"/>
  <dataValidations count="1">
    <dataValidation type="list" allowBlank="1" showInputMessage="1" showErrorMessage="1" sqref="B56" xr:uid="{423816FB-57B2-4FBB-9EA5-214F1DF726F4}">
      <formula1>$C$4:$C$6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869CA0C-1501-43C3-B403-40B34D3A5518}">
          <x14:formula1>
            <xm:f>'RAW DATA'!$C$2:$C$109</xm:f>
          </x14:formula1>
          <xm:sqref>B45 B27</xm:sqref>
        </x14:dataValidation>
        <x14:dataValidation type="list" allowBlank="1" showInputMessage="1" showErrorMessage="1" xr:uid="{35E150FE-4F95-4360-A88E-708EB342ED10}">
          <x14:formula1>
            <xm:f>'RAW DATA'!$A$2:$A$91</xm:f>
          </x14:formula1>
          <xm:sqref>B25 B35 B43</xm:sqref>
        </x14:dataValidation>
        <x14:dataValidation type="list" allowBlank="1" showInputMessage="1" showErrorMessage="1" xr:uid="{4D63B6CC-7B33-4148-9912-C216EE1195EC}">
          <x14:formula1>
            <xm:f>GEN!$A$27:$A$29</xm:f>
          </x14:formula1>
          <xm:sqref>B44 B36 B26</xm:sqref>
        </x14:dataValidation>
        <x14:dataValidation type="list" allowBlank="1" showInputMessage="1" showErrorMessage="1" xr:uid="{31E02442-0511-4BEB-95F4-24C23B50F758}">
          <x14:formula1>
            <xm:f>'RAW DATA'!$D$2:$D$10</xm:f>
          </x14:formula1>
          <xm:sqref>B28 B37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E1FB0-A922-4141-B3F1-F5561B8BBBBF}">
  <dimension ref="A3:G31"/>
  <sheetViews>
    <sheetView workbookViewId="0">
      <selection activeCell="B3" sqref="B3"/>
    </sheetView>
  </sheetViews>
  <sheetFormatPr defaultRowHeight="14.4" x14ac:dyDescent="0.3"/>
  <cols>
    <col min="1" max="1" width="12.109375" bestFit="1" customWidth="1"/>
    <col min="9" max="9" width="12.109375" bestFit="1" customWidth="1"/>
  </cols>
  <sheetData>
    <row r="3" spans="1:7" x14ac:dyDescent="0.3">
      <c r="A3" s="60" t="s">
        <v>143</v>
      </c>
      <c r="B3" t="s">
        <v>140</v>
      </c>
    </row>
    <row r="6" spans="1:7" x14ac:dyDescent="0.3">
      <c r="A6" s="88" t="s">
        <v>189</v>
      </c>
    </row>
    <row r="8" spans="1:7" x14ac:dyDescent="0.3">
      <c r="A8" s="27"/>
      <c r="B8" s="27" t="s">
        <v>163</v>
      </c>
      <c r="C8" s="27" t="s">
        <v>164</v>
      </c>
      <c r="D8" s="27" t="s">
        <v>165</v>
      </c>
      <c r="E8" s="27" t="s">
        <v>166</v>
      </c>
      <c r="F8" s="27" t="s">
        <v>167</v>
      </c>
      <c r="G8" s="27" t="s">
        <v>168</v>
      </c>
    </row>
    <row r="9" spans="1:7" x14ac:dyDescent="0.3">
      <c r="A9" s="28" t="s">
        <v>9</v>
      </c>
      <c r="B9" s="49" t="str" cm="1">
        <f t="array" aca="1" ref="B9:G17" ca="1">IF(B3="BA",OFFSET(BA__2,0,0,9,6),IF(B3="GEN",OFFSET(GE__2,0,0,9,6),IF(B3="HC",OFFSET(HC__2,0,0,9,6),"NA")))</f>
        <v>LEISURE</v>
      </c>
      <c r="C9" s="49" t="str">
        <f ca="1"/>
        <v>HC205</v>
      </c>
      <c r="D9" s="49" t="str">
        <f ca="1"/>
        <v>HC205</v>
      </c>
      <c r="E9" s="49" t="str">
        <f ca="1"/>
        <v>HC204</v>
      </c>
      <c r="F9" s="49" t="str">
        <f ca="1"/>
        <v>HC203</v>
      </c>
      <c r="G9" s="49" t="str">
        <f ca="1"/>
        <v>LEISURE</v>
      </c>
    </row>
    <row r="10" spans="1:7" x14ac:dyDescent="0.3">
      <c r="A10" s="28" t="s">
        <v>13</v>
      </c>
      <c r="B10" s="49" t="str">
        <f ca="1"/>
        <v>HC204</v>
      </c>
      <c r="C10" s="49" t="str">
        <f ca="1"/>
        <v>HC205</v>
      </c>
      <c r="D10" s="49" t="str">
        <f ca="1"/>
        <v>HC205</v>
      </c>
      <c r="E10" s="49" t="str">
        <f ca="1"/>
        <v>HC204</v>
      </c>
      <c r="F10" s="49" t="str">
        <f ca="1"/>
        <v>HC203</v>
      </c>
      <c r="G10" s="49" t="str">
        <f ca="1"/>
        <v>HC206</v>
      </c>
    </row>
    <row r="11" spans="1:7" x14ac:dyDescent="0.3">
      <c r="A11" s="28" t="s">
        <v>15</v>
      </c>
      <c r="B11" s="49" t="str">
        <f ca="1"/>
        <v>HC204</v>
      </c>
      <c r="C11" s="49" t="str">
        <f ca="1"/>
        <v>HC201</v>
      </c>
      <c r="D11" s="49" t="str">
        <f ca="1"/>
        <v>HC207</v>
      </c>
      <c r="E11" s="49" t="str">
        <f ca="1"/>
        <v>HC202</v>
      </c>
      <c r="F11" s="49" t="str">
        <f ca="1"/>
        <v>HC202</v>
      </c>
      <c r="G11" s="49" t="str">
        <f ca="1"/>
        <v>HC206</v>
      </c>
    </row>
    <row r="12" spans="1:7" x14ac:dyDescent="0.3">
      <c r="A12" s="28" t="s">
        <v>19</v>
      </c>
      <c r="B12" s="49" t="str">
        <f ca="1"/>
        <v>HC201</v>
      </c>
      <c r="C12" s="49" t="str">
        <f ca="1"/>
        <v>HC201</v>
      </c>
      <c r="D12" s="49" t="str">
        <f ca="1"/>
        <v>HC207</v>
      </c>
      <c r="E12" s="49" t="str">
        <f ca="1"/>
        <v>HC202</v>
      </c>
      <c r="F12" s="49" t="str">
        <f ca="1"/>
        <v>HC202</v>
      </c>
      <c r="G12" s="49" t="str">
        <f ca="1"/>
        <v>HC201</v>
      </c>
    </row>
    <row r="13" spans="1:7" x14ac:dyDescent="0.3">
      <c r="A13" s="28" t="s">
        <v>152</v>
      </c>
      <c r="B13" s="49" t="str">
        <f ca="1"/>
        <v>LUNCH</v>
      </c>
      <c r="C13" s="49" t="str">
        <f ca="1"/>
        <v>LUNCH</v>
      </c>
      <c r="D13" s="49" t="str">
        <f ca="1"/>
        <v>LUNCH</v>
      </c>
      <c r="E13" s="49" t="str">
        <f ca="1"/>
        <v>LUNCH</v>
      </c>
      <c r="F13" s="49" t="str">
        <f ca="1"/>
        <v>LUNCH</v>
      </c>
      <c r="G13" s="49" t="str">
        <f ca="1"/>
        <v>LUNCH</v>
      </c>
    </row>
    <row r="14" spans="1:7" x14ac:dyDescent="0.3">
      <c r="A14" s="28" t="s">
        <v>22</v>
      </c>
      <c r="B14" s="49" t="str">
        <f ca="1"/>
        <v>HC207</v>
      </c>
      <c r="C14" s="49" t="str">
        <f ca="1"/>
        <v>LEISURE</v>
      </c>
      <c r="D14" s="49" t="str">
        <f ca="1"/>
        <v>LEISURE</v>
      </c>
      <c r="E14" s="49" t="str">
        <f ca="1"/>
        <v>HC209</v>
      </c>
      <c r="F14" s="49" t="str">
        <f ca="1"/>
        <v>HC209</v>
      </c>
      <c r="G14" s="49" t="str">
        <f ca="1"/>
        <v>LEISURE</v>
      </c>
    </row>
    <row r="15" spans="1:7" x14ac:dyDescent="0.3">
      <c r="A15" s="28" t="s">
        <v>25</v>
      </c>
      <c r="B15" s="49" t="str">
        <f ca="1"/>
        <v>HC207</v>
      </c>
      <c r="C15" s="49" t="str">
        <f ca="1"/>
        <v>LEISURE</v>
      </c>
      <c r="D15" s="49" t="str">
        <f ca="1"/>
        <v>LEISURE</v>
      </c>
      <c r="E15" s="49" t="str">
        <f ca="1"/>
        <v>HC209</v>
      </c>
      <c r="F15" s="49" t="str">
        <f ca="1"/>
        <v>HC209</v>
      </c>
      <c r="G15" s="49" t="str">
        <f ca="1"/>
        <v>LEISURE</v>
      </c>
    </row>
    <row r="16" spans="1:7" x14ac:dyDescent="0.3">
      <c r="A16" s="28" t="s">
        <v>26</v>
      </c>
      <c r="B16" s="49" t="str">
        <f ca="1"/>
        <v>HC203</v>
      </c>
      <c r="C16" s="49" t="str">
        <f ca="1"/>
        <v>HC208</v>
      </c>
      <c r="D16" s="49" t="str">
        <f ca="1"/>
        <v>LEISURE</v>
      </c>
      <c r="E16" s="49" t="str">
        <f ca="1"/>
        <v>HC206</v>
      </c>
      <c r="F16" s="49" t="str">
        <f ca="1"/>
        <v>HC208</v>
      </c>
      <c r="G16" s="49" t="str">
        <f ca="1"/>
        <v>LEISURE</v>
      </c>
    </row>
    <row r="17" spans="1:7" x14ac:dyDescent="0.3">
      <c r="A17" s="28" t="s">
        <v>29</v>
      </c>
      <c r="B17" s="49" t="str">
        <f ca="1"/>
        <v>HC203</v>
      </c>
      <c r="C17" s="49" t="str">
        <f ca="1"/>
        <v>HC208</v>
      </c>
      <c r="D17" s="49" t="str">
        <f ca="1"/>
        <v>LEISURE</v>
      </c>
      <c r="E17" s="49" t="str">
        <f ca="1"/>
        <v>HC206</v>
      </c>
      <c r="F17" s="49" t="str">
        <f ca="1"/>
        <v>HC208</v>
      </c>
      <c r="G17" s="49" t="str">
        <f ca="1"/>
        <v>LEISURE</v>
      </c>
    </row>
    <row r="20" spans="1:7" x14ac:dyDescent="0.3">
      <c r="A20" s="89" t="s">
        <v>190</v>
      </c>
    </row>
    <row r="22" spans="1:7" x14ac:dyDescent="0.3">
      <c r="A22" s="27"/>
      <c r="B22" s="27" t="s">
        <v>163</v>
      </c>
      <c r="C22" s="27" t="s">
        <v>164</v>
      </c>
      <c r="D22" s="27" t="s">
        <v>165</v>
      </c>
      <c r="E22" s="27" t="s">
        <v>166</v>
      </c>
      <c r="F22" s="27" t="s">
        <v>167</v>
      </c>
      <c r="G22" s="27" t="s">
        <v>168</v>
      </c>
    </row>
    <row r="23" spans="1:7" x14ac:dyDescent="0.3">
      <c r="A23" s="28" t="s">
        <v>9</v>
      </c>
      <c r="B23" s="49" t="str" cm="1">
        <f t="array" aca="1" ref="B23:G31" ca="1">IF(B3="BA",OFFSET(BA__4,0,0,9,6),IF(B3="GEN",OFFSET(GE__4,0,0,9,6),IF(B3="HC",OFFSET(HC__4,0,0,9,6),"NA")))</f>
        <v>NAV</v>
      </c>
      <c r="C23" s="49" t="str">
        <f ca="1"/>
        <v>NAV</v>
      </c>
      <c r="D23" s="49" t="str">
        <f ca="1"/>
        <v>NAV</v>
      </c>
      <c r="E23" s="49" t="str">
        <f ca="1"/>
        <v>NAV</v>
      </c>
      <c r="F23" s="49" t="str">
        <f ca="1"/>
        <v>NAV</v>
      </c>
      <c r="G23" s="49" t="str">
        <f ca="1"/>
        <v>NAV</v>
      </c>
    </row>
    <row r="24" spans="1:7" x14ac:dyDescent="0.3">
      <c r="A24" s="28" t="s">
        <v>13</v>
      </c>
      <c r="B24" s="49" t="str">
        <f ca="1"/>
        <v>NAV</v>
      </c>
      <c r="C24" s="49" t="str">
        <f ca="1"/>
        <v>NAV</v>
      </c>
      <c r="D24" s="49" t="str">
        <f ca="1"/>
        <v>NAV</v>
      </c>
      <c r="E24" s="49" t="str">
        <f ca="1"/>
        <v>NAV</v>
      </c>
      <c r="F24" s="49" t="str">
        <f ca="1"/>
        <v>NAV</v>
      </c>
      <c r="G24" s="49" t="str">
        <f ca="1"/>
        <v>NAV</v>
      </c>
    </row>
    <row r="25" spans="1:7" x14ac:dyDescent="0.3">
      <c r="A25" s="28" t="s">
        <v>15</v>
      </c>
      <c r="B25" s="49" t="str">
        <f ca="1"/>
        <v>NAV</v>
      </c>
      <c r="C25" s="49" t="str">
        <f ca="1"/>
        <v>NAV</v>
      </c>
      <c r="D25" s="49" t="str">
        <f ca="1"/>
        <v>NAV</v>
      </c>
      <c r="E25" s="49" t="str">
        <f ca="1"/>
        <v>NAV</v>
      </c>
      <c r="F25" s="49" t="str">
        <f ca="1"/>
        <v>NAV</v>
      </c>
      <c r="G25" s="49" t="str">
        <f ca="1"/>
        <v>NAV</v>
      </c>
    </row>
    <row r="26" spans="1:7" x14ac:dyDescent="0.3">
      <c r="A26" s="28" t="s">
        <v>19</v>
      </c>
      <c r="B26" s="49" t="str">
        <f ca="1"/>
        <v>NAV</v>
      </c>
      <c r="C26" s="49" t="str">
        <f ca="1"/>
        <v>NAV</v>
      </c>
      <c r="D26" s="49" t="str">
        <f ca="1"/>
        <v>NAV</v>
      </c>
      <c r="E26" s="49" t="str">
        <f ca="1"/>
        <v>NAV</v>
      </c>
      <c r="F26" s="49" t="str">
        <f ca="1"/>
        <v>NAV</v>
      </c>
      <c r="G26" s="49" t="str">
        <f ca="1"/>
        <v>NAV</v>
      </c>
    </row>
    <row r="27" spans="1:7" x14ac:dyDescent="0.3">
      <c r="A27" s="28" t="s">
        <v>152</v>
      </c>
      <c r="B27" s="49" t="str">
        <f ca="1"/>
        <v>NAV</v>
      </c>
      <c r="C27" s="49" t="str">
        <f ca="1"/>
        <v>NAV</v>
      </c>
      <c r="D27" s="49" t="str">
        <f ca="1"/>
        <v>NAV</v>
      </c>
      <c r="E27" s="49" t="str">
        <f ca="1"/>
        <v>NAV</v>
      </c>
      <c r="F27" s="49" t="str">
        <f ca="1"/>
        <v>NAV</v>
      </c>
      <c r="G27" s="49" t="str">
        <f ca="1"/>
        <v>NAV</v>
      </c>
    </row>
    <row r="28" spans="1:7" x14ac:dyDescent="0.3">
      <c r="A28" s="28" t="s">
        <v>22</v>
      </c>
      <c r="B28" s="49" t="str">
        <f ca="1"/>
        <v>NAV</v>
      </c>
      <c r="C28" s="49" t="str">
        <f ca="1"/>
        <v>NAV</v>
      </c>
      <c r="D28" s="49" t="str">
        <f ca="1"/>
        <v>NAV</v>
      </c>
      <c r="E28" s="49" t="str">
        <f ca="1"/>
        <v>NAV</v>
      </c>
      <c r="F28" s="49" t="str">
        <f ca="1"/>
        <v>NAV</v>
      </c>
      <c r="G28" s="49" t="str">
        <f ca="1"/>
        <v>NAV</v>
      </c>
    </row>
    <row r="29" spans="1:7" x14ac:dyDescent="0.3">
      <c r="A29" s="28" t="s">
        <v>25</v>
      </c>
      <c r="B29" s="49" t="str">
        <f ca="1"/>
        <v>NAV</v>
      </c>
      <c r="C29" s="49" t="str">
        <f ca="1"/>
        <v>NAV</v>
      </c>
      <c r="D29" s="49" t="str">
        <f ca="1"/>
        <v>NAV</v>
      </c>
      <c r="E29" s="49" t="str">
        <f ca="1"/>
        <v>NAV</v>
      </c>
      <c r="F29" s="49" t="str">
        <f ca="1"/>
        <v>NAV</v>
      </c>
      <c r="G29" s="49" t="str">
        <f ca="1"/>
        <v>NAV</v>
      </c>
    </row>
    <row r="30" spans="1:7" x14ac:dyDescent="0.3">
      <c r="A30" s="28" t="s">
        <v>26</v>
      </c>
      <c r="B30" s="49" t="str">
        <f ca="1"/>
        <v>NAV</v>
      </c>
      <c r="C30" s="49" t="str">
        <f ca="1"/>
        <v>NAV</v>
      </c>
      <c r="D30" s="49" t="str">
        <f ca="1"/>
        <v>NAV</v>
      </c>
      <c r="E30" s="49" t="str">
        <f ca="1"/>
        <v>NAV</v>
      </c>
      <c r="F30" s="49" t="str">
        <f ca="1"/>
        <v>NAV</v>
      </c>
      <c r="G30" s="49" t="str">
        <f ca="1"/>
        <v>NAV</v>
      </c>
    </row>
    <row r="31" spans="1:7" x14ac:dyDescent="0.3">
      <c r="A31" s="28" t="s">
        <v>29</v>
      </c>
      <c r="B31" s="49" t="str">
        <f ca="1"/>
        <v>NAV</v>
      </c>
      <c r="C31" s="49" t="str">
        <f ca="1"/>
        <v>NAV</v>
      </c>
      <c r="D31" s="49" t="str">
        <f ca="1"/>
        <v>NAV</v>
      </c>
      <c r="E31" s="49" t="str">
        <f ca="1"/>
        <v>NAV</v>
      </c>
      <c r="F31" s="49" t="str">
        <f ca="1"/>
        <v>NAV</v>
      </c>
      <c r="G31" s="49" t="str">
        <f ca="1"/>
        <v>NAV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1554EB-9AAA-4D21-AE4C-F7B81EF7B2D4}">
          <x14:formula1>
            <xm:f>' BACK END MODEL'!$C$4:$C$6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467D-5AE7-4092-AE44-B24B1EE16D54}">
  <dimension ref="A4:G44"/>
  <sheetViews>
    <sheetView topLeftCell="A8" workbookViewId="0">
      <selection activeCell="B4" sqref="B4"/>
    </sheetView>
  </sheetViews>
  <sheetFormatPr defaultRowHeight="14.4" x14ac:dyDescent="0.3"/>
  <cols>
    <col min="1" max="1" width="10.77734375" bestFit="1" customWidth="1"/>
  </cols>
  <sheetData>
    <row r="4" spans="1:7" x14ac:dyDescent="0.3">
      <c r="A4" s="63" t="s">
        <v>182</v>
      </c>
      <c r="B4" s="49">
        <v>4</v>
      </c>
    </row>
    <row r="7" spans="1:7" x14ac:dyDescent="0.3">
      <c r="A7" s="60" t="s">
        <v>139</v>
      </c>
    </row>
    <row r="9" spans="1:7" x14ac:dyDescent="0.3">
      <c r="A9" s="27"/>
      <c r="B9" s="27" t="s">
        <v>163</v>
      </c>
      <c r="C9" s="27" t="s">
        <v>164</v>
      </c>
      <c r="D9" s="27" t="s">
        <v>165</v>
      </c>
      <c r="E9" s="27" t="s">
        <v>166</v>
      </c>
      <c r="F9" s="27" t="s">
        <v>167</v>
      </c>
      <c r="G9" s="27" t="s">
        <v>168</v>
      </c>
    </row>
    <row r="10" spans="1:7" x14ac:dyDescent="0.3">
      <c r="A10" s="28" t="s">
        <v>9</v>
      </c>
      <c r="B10" s="62" t="str" cm="1">
        <f t="array" aca="1" ref="B10:G18" ca="1">IF(B4=2,OFFSET(BA__2,0,0,9,6),IF(B4=4,OFFSET(BA__4,0,0,9,6),"NA"))</f>
        <v>LEISURE</v>
      </c>
      <c r="C10" s="62" t="str">
        <f ca="1"/>
        <v>LEISURE</v>
      </c>
      <c r="D10" s="62" t="str">
        <f ca="1"/>
        <v>BA404</v>
      </c>
      <c r="E10" s="62" t="str">
        <f ca="1"/>
        <v>LEISURE</v>
      </c>
      <c r="F10" s="62" t="str">
        <f ca="1"/>
        <v>LEISURE</v>
      </c>
      <c r="G10" s="62" t="str">
        <f ca="1"/>
        <v>LEISURE</v>
      </c>
    </row>
    <row r="11" spans="1:7" x14ac:dyDescent="0.3">
      <c r="A11" s="28" t="s">
        <v>13</v>
      </c>
      <c r="B11" s="62" t="str">
        <f ca="1"/>
        <v>LEISURE</v>
      </c>
      <c r="C11" s="62" t="str">
        <f ca="1"/>
        <v>LEISURE</v>
      </c>
      <c r="D11" s="62" t="str">
        <f ca="1"/>
        <v>BA404</v>
      </c>
      <c r="E11" s="62" t="str">
        <f ca="1"/>
        <v>LEISURE</v>
      </c>
      <c r="F11" s="62" t="str">
        <f ca="1"/>
        <v>LEISURE</v>
      </c>
      <c r="G11" s="62" t="str">
        <f ca="1"/>
        <v>LEISURE</v>
      </c>
    </row>
    <row r="12" spans="1:7" x14ac:dyDescent="0.3">
      <c r="A12" s="28" t="s">
        <v>15</v>
      </c>
      <c r="B12" s="62" t="str">
        <f ca="1"/>
        <v>LEISURE</v>
      </c>
      <c r="C12" s="62" t="str">
        <f ca="1"/>
        <v>LEISURE</v>
      </c>
      <c r="D12" s="62" t="str">
        <f ca="1"/>
        <v>BA404</v>
      </c>
      <c r="E12" s="62" t="str">
        <f ca="1"/>
        <v>LEISURE</v>
      </c>
      <c r="F12" s="62" t="str">
        <f ca="1"/>
        <v>LEISURE</v>
      </c>
      <c r="G12" s="62" t="str">
        <f ca="1"/>
        <v>LEISURE</v>
      </c>
    </row>
    <row r="13" spans="1:7" x14ac:dyDescent="0.3">
      <c r="A13" s="28" t="s">
        <v>19</v>
      </c>
      <c r="B13" s="62" t="str">
        <f ca="1"/>
        <v>LEISURE</v>
      </c>
      <c r="C13" s="62" t="str">
        <f ca="1"/>
        <v>LEISURE</v>
      </c>
      <c r="D13" s="62" t="str">
        <f ca="1"/>
        <v>LEISURE</v>
      </c>
      <c r="E13" s="62" t="str">
        <f ca="1"/>
        <v>LEISURE</v>
      </c>
      <c r="F13" s="62" t="str">
        <f ca="1"/>
        <v>LEISURE</v>
      </c>
      <c r="G13" s="62" t="str">
        <f ca="1"/>
        <v>LEISURE</v>
      </c>
    </row>
    <row r="14" spans="1:7" x14ac:dyDescent="0.3">
      <c r="A14" s="28" t="s">
        <v>152</v>
      </c>
      <c r="B14" s="62" t="str">
        <f ca="1"/>
        <v>LUNCH</v>
      </c>
      <c r="C14" s="62" t="str">
        <f ca="1"/>
        <v>LUNCH</v>
      </c>
      <c r="D14" s="62" t="str">
        <f ca="1"/>
        <v>LUNCH</v>
      </c>
      <c r="E14" s="62" t="str">
        <f ca="1"/>
        <v>LUNCH</v>
      </c>
      <c r="F14" s="62" t="str">
        <f ca="1"/>
        <v>LUNCH</v>
      </c>
      <c r="G14" s="62" t="str">
        <f ca="1"/>
        <v>LUNCH</v>
      </c>
    </row>
    <row r="15" spans="1:7" x14ac:dyDescent="0.3">
      <c r="A15" s="28" t="s">
        <v>22</v>
      </c>
      <c r="B15" s="62" t="str">
        <f ca="1"/>
        <v>LEISURE</v>
      </c>
      <c r="C15" s="62" t="str">
        <f ca="1"/>
        <v>LEISURE</v>
      </c>
      <c r="D15" s="62" t="str">
        <f ca="1"/>
        <v>LEISURE</v>
      </c>
      <c r="E15" s="62" t="str">
        <f ca="1"/>
        <v>LEISURE</v>
      </c>
      <c r="F15" s="62" t="str">
        <f ca="1"/>
        <v>BA403</v>
      </c>
      <c r="G15" s="62" t="str">
        <f ca="1"/>
        <v>LEISURE</v>
      </c>
    </row>
    <row r="16" spans="1:7" x14ac:dyDescent="0.3">
      <c r="A16" s="28" t="s">
        <v>25</v>
      </c>
      <c r="B16" s="62" t="str">
        <f ca="1"/>
        <v>LEISURE</v>
      </c>
      <c r="C16" s="62" t="str">
        <f ca="1"/>
        <v>LEISURE</v>
      </c>
      <c r="D16" s="62" t="str">
        <f ca="1"/>
        <v>LEISURE</v>
      </c>
      <c r="E16" s="62" t="str">
        <f ca="1"/>
        <v>LEISURE</v>
      </c>
      <c r="F16" s="62" t="str">
        <f ca="1"/>
        <v>BA403</v>
      </c>
      <c r="G16" s="62" t="str">
        <f ca="1"/>
        <v>LEISURE</v>
      </c>
    </row>
    <row r="17" spans="1:7" x14ac:dyDescent="0.3">
      <c r="A17" s="28" t="s">
        <v>26</v>
      </c>
      <c r="B17" s="62" t="str">
        <f ca="1"/>
        <v>LEISURE</v>
      </c>
      <c r="C17" s="62" t="str">
        <f ca="1"/>
        <v>LEISURE</v>
      </c>
      <c r="D17" s="62" t="str">
        <f ca="1"/>
        <v>LEISURE</v>
      </c>
      <c r="E17" s="62" t="str">
        <f ca="1"/>
        <v>LEISURE</v>
      </c>
      <c r="F17" s="62" t="str">
        <f ca="1"/>
        <v>BA403</v>
      </c>
      <c r="G17" s="62" t="str">
        <f ca="1"/>
        <v>LEISURE</v>
      </c>
    </row>
    <row r="18" spans="1:7" x14ac:dyDescent="0.3">
      <c r="A18" s="28" t="s">
        <v>29</v>
      </c>
      <c r="B18" s="62" t="str">
        <f ca="1"/>
        <v>LEISURE</v>
      </c>
      <c r="C18" s="62" t="str">
        <f ca="1"/>
        <v>LEISURE</v>
      </c>
      <c r="D18" s="62" t="str">
        <f ca="1"/>
        <v>LEISURE</v>
      </c>
      <c r="E18" s="62" t="str">
        <f ca="1"/>
        <v>LEISURE</v>
      </c>
      <c r="F18" s="62" t="str">
        <f ca="1"/>
        <v>LEISURE</v>
      </c>
      <c r="G18" s="62" t="str">
        <f ca="1"/>
        <v>LEISURE</v>
      </c>
    </row>
    <row r="20" spans="1:7" x14ac:dyDescent="0.3">
      <c r="A20" s="61" t="s">
        <v>141</v>
      </c>
    </row>
    <row r="22" spans="1:7" x14ac:dyDescent="0.3">
      <c r="A22" s="27"/>
      <c r="B22" s="27" t="s">
        <v>163</v>
      </c>
      <c r="C22" s="27" t="s">
        <v>164</v>
      </c>
      <c r="D22" s="27" t="s">
        <v>165</v>
      </c>
      <c r="E22" s="27" t="s">
        <v>166</v>
      </c>
      <c r="F22" s="27" t="s">
        <v>167</v>
      </c>
      <c r="G22" s="27" t="s">
        <v>168</v>
      </c>
    </row>
    <row r="23" spans="1:7" x14ac:dyDescent="0.3">
      <c r="A23" s="28" t="s">
        <v>9</v>
      </c>
      <c r="B23" s="62" t="str" cm="1">
        <f t="array" aca="1" ref="B23:G31" ca="1">IF(B4=2,OFFSET(GE__2,0,0,9,6),IF(B4=4,OFFSET(GE__4,0,0,9,6),"NA"))</f>
        <v>LEISURE</v>
      </c>
      <c r="C23" s="62" t="str">
        <f ca="1"/>
        <v>LEISURE</v>
      </c>
      <c r="D23" s="62" t="str">
        <f ca="1"/>
        <v>GE471</v>
      </c>
      <c r="E23" s="62" t="str">
        <f ca="1"/>
        <v>GE452</v>
      </c>
      <c r="F23" s="62" t="str">
        <f ca="1"/>
        <v>GE462</v>
      </c>
      <c r="G23" s="62" t="str">
        <f ca="1"/>
        <v>LEISURE</v>
      </c>
    </row>
    <row r="24" spans="1:7" x14ac:dyDescent="0.3">
      <c r="A24" s="28" t="s">
        <v>13</v>
      </c>
      <c r="B24" s="62" t="str">
        <f ca="1"/>
        <v>GE432</v>
      </c>
      <c r="C24" s="62" t="str">
        <f ca="1"/>
        <v>GE441</v>
      </c>
      <c r="D24" s="62" t="str">
        <f ca="1"/>
        <v>GE471</v>
      </c>
      <c r="E24" s="62" t="str">
        <f ca="1"/>
        <v>GE452</v>
      </c>
      <c r="F24" s="62" t="str">
        <f ca="1"/>
        <v>GE462</v>
      </c>
      <c r="G24" s="62" t="str">
        <f ca="1"/>
        <v>LEISURE</v>
      </c>
    </row>
    <row r="25" spans="1:7" x14ac:dyDescent="0.3">
      <c r="A25" s="28" t="s">
        <v>15</v>
      </c>
      <c r="B25" s="62" t="str">
        <f ca="1"/>
        <v>GE432</v>
      </c>
      <c r="C25" s="62" t="str">
        <f ca="1"/>
        <v>GE441</v>
      </c>
      <c r="D25" s="62" t="str">
        <f ca="1"/>
        <v>GE471</v>
      </c>
      <c r="E25" s="62" t="str">
        <f ca="1"/>
        <v>GE451</v>
      </c>
      <c r="F25" s="62" t="str">
        <f ca="1"/>
        <v>GE462</v>
      </c>
      <c r="G25" s="62" t="str">
        <f ca="1"/>
        <v>LEISURE</v>
      </c>
    </row>
    <row r="26" spans="1:7" x14ac:dyDescent="0.3">
      <c r="A26" s="28" t="s">
        <v>19</v>
      </c>
      <c r="B26" s="62" t="str">
        <f ca="1"/>
        <v>GE432</v>
      </c>
      <c r="C26" s="62" t="str">
        <f ca="1"/>
        <v>GE441</v>
      </c>
      <c r="D26" s="62" t="str">
        <f ca="1"/>
        <v>LEISURE</v>
      </c>
      <c r="E26" s="62" t="str">
        <f ca="1"/>
        <v>GE451</v>
      </c>
      <c r="F26" s="62" t="str">
        <f ca="1"/>
        <v>LEISURE</v>
      </c>
      <c r="G26" s="62" t="str">
        <f ca="1"/>
        <v>LEISURE</v>
      </c>
    </row>
    <row r="27" spans="1:7" x14ac:dyDescent="0.3">
      <c r="A27" s="28" t="s">
        <v>152</v>
      </c>
      <c r="B27" s="62" t="str">
        <f ca="1"/>
        <v>LUNCH</v>
      </c>
      <c r="C27" s="62" t="str">
        <f ca="1"/>
        <v>LUNCH</v>
      </c>
      <c r="D27" s="62" t="str">
        <f ca="1"/>
        <v>LUNCH</v>
      </c>
      <c r="E27" s="62" t="str">
        <f ca="1"/>
        <v>LUNCH</v>
      </c>
      <c r="F27" s="62" t="str">
        <f ca="1"/>
        <v>LUNCH</v>
      </c>
      <c r="G27" s="62" t="str">
        <f ca="1"/>
        <v>LUNCH</v>
      </c>
    </row>
    <row r="28" spans="1:7" x14ac:dyDescent="0.3">
      <c r="A28" s="28" t="s">
        <v>22</v>
      </c>
      <c r="B28" s="62" t="str">
        <f ca="1"/>
        <v>GE431</v>
      </c>
      <c r="C28" s="62" t="str">
        <f ca="1"/>
        <v>GE442</v>
      </c>
      <c r="D28" s="62" t="str">
        <f ca="1"/>
        <v>LEISURE</v>
      </c>
      <c r="E28" s="62" t="str">
        <f ca="1"/>
        <v>GE452</v>
      </c>
      <c r="F28" s="62" t="str">
        <f ca="1"/>
        <v>GE461</v>
      </c>
      <c r="G28" s="62" t="str">
        <f ca="1"/>
        <v>GE472</v>
      </c>
    </row>
    <row r="29" spans="1:7" x14ac:dyDescent="0.3">
      <c r="A29" s="28" t="s">
        <v>25</v>
      </c>
      <c r="B29" s="62" t="str">
        <f ca="1"/>
        <v>GE431</v>
      </c>
      <c r="C29" s="62" t="str">
        <f ca="1"/>
        <v>GE442</v>
      </c>
      <c r="D29" s="62" t="str">
        <f ca="1"/>
        <v>LEISURE</v>
      </c>
      <c r="E29" s="62" t="str">
        <f ca="1"/>
        <v>GE451</v>
      </c>
      <c r="F29" s="62" t="str">
        <f ca="1"/>
        <v>GE461</v>
      </c>
      <c r="G29" s="62" t="str">
        <f ca="1"/>
        <v>GE472</v>
      </c>
    </row>
    <row r="30" spans="1:7" x14ac:dyDescent="0.3">
      <c r="A30" s="28" t="s">
        <v>26</v>
      </c>
      <c r="B30" s="62" t="str">
        <f ca="1"/>
        <v>GE431</v>
      </c>
      <c r="C30" s="62" t="str">
        <f ca="1"/>
        <v>GE442</v>
      </c>
      <c r="D30" s="62" t="str">
        <f ca="1"/>
        <v>LEISURE</v>
      </c>
      <c r="E30" s="62" t="str">
        <f ca="1"/>
        <v>LEISURE</v>
      </c>
      <c r="F30" s="62" t="str">
        <f ca="1"/>
        <v>GE461</v>
      </c>
      <c r="G30" s="62" t="str">
        <f ca="1"/>
        <v>GE472</v>
      </c>
    </row>
    <row r="31" spans="1:7" x14ac:dyDescent="0.3">
      <c r="A31" s="28" t="s">
        <v>29</v>
      </c>
      <c r="B31" s="62" t="str">
        <f ca="1"/>
        <v>LEISURE</v>
      </c>
      <c r="C31" s="62" t="str">
        <f ca="1"/>
        <v>LEISURE</v>
      </c>
      <c r="D31" s="62" t="str">
        <f ca="1"/>
        <v>LEISURE</v>
      </c>
      <c r="E31" s="62" t="str">
        <f ca="1"/>
        <v>LEISURE</v>
      </c>
      <c r="F31" s="62" t="str">
        <f ca="1"/>
        <v>LEISURE</v>
      </c>
      <c r="G31" s="62" t="str">
        <f ca="1"/>
        <v>LEISURE</v>
      </c>
    </row>
    <row r="33" spans="1:7" x14ac:dyDescent="0.3">
      <c r="A33" s="61" t="s">
        <v>140</v>
      </c>
    </row>
    <row r="35" spans="1:7" x14ac:dyDescent="0.3">
      <c r="A35" s="27"/>
      <c r="B35" s="27" t="s">
        <v>163</v>
      </c>
      <c r="C35" s="27" t="s">
        <v>164</v>
      </c>
      <c r="D35" s="27" t="s">
        <v>165</v>
      </c>
      <c r="E35" s="27" t="s">
        <v>166</v>
      </c>
      <c r="F35" s="27" t="s">
        <v>167</v>
      </c>
      <c r="G35" s="27" t="s">
        <v>168</v>
      </c>
    </row>
    <row r="36" spans="1:7" x14ac:dyDescent="0.3">
      <c r="A36" s="28" t="s">
        <v>9</v>
      </c>
      <c r="B36" s="62" t="str" cm="1">
        <f t="array" aca="1" ref="B36:G44" ca="1">IF(B4=2,OFFSET(HC__2,0,0,9,6),IF(B4=4,OFFSET(HC__4,0,0,9,6),"NA"))</f>
        <v>NAV</v>
      </c>
      <c r="C36" s="62" t="str">
        <f ca="1"/>
        <v>NAV</v>
      </c>
      <c r="D36" s="62" t="str">
        <f ca="1"/>
        <v>NAV</v>
      </c>
      <c r="E36" s="62" t="str">
        <f ca="1"/>
        <v>NAV</v>
      </c>
      <c r="F36" s="62" t="str">
        <f ca="1"/>
        <v>NAV</v>
      </c>
      <c r="G36" s="62" t="str">
        <f ca="1"/>
        <v>NAV</v>
      </c>
    </row>
    <row r="37" spans="1:7" x14ac:dyDescent="0.3">
      <c r="A37" s="28" t="s">
        <v>13</v>
      </c>
      <c r="B37" s="62" t="str">
        <f ca="1"/>
        <v>NAV</v>
      </c>
      <c r="C37" s="62" t="str">
        <f ca="1"/>
        <v>NAV</v>
      </c>
      <c r="D37" s="62" t="str">
        <f ca="1"/>
        <v>NAV</v>
      </c>
      <c r="E37" s="62" t="str">
        <f ca="1"/>
        <v>NAV</v>
      </c>
      <c r="F37" s="62" t="str">
        <f ca="1"/>
        <v>NAV</v>
      </c>
      <c r="G37" s="62" t="str">
        <f ca="1"/>
        <v>NAV</v>
      </c>
    </row>
    <row r="38" spans="1:7" x14ac:dyDescent="0.3">
      <c r="A38" s="28" t="s">
        <v>15</v>
      </c>
      <c r="B38" s="62" t="str">
        <f ca="1"/>
        <v>NAV</v>
      </c>
      <c r="C38" s="62" t="str">
        <f ca="1"/>
        <v>NAV</v>
      </c>
      <c r="D38" s="62" t="str">
        <f ca="1"/>
        <v>NAV</v>
      </c>
      <c r="E38" s="62" t="str">
        <f ca="1"/>
        <v>NAV</v>
      </c>
      <c r="F38" s="62" t="str">
        <f ca="1"/>
        <v>NAV</v>
      </c>
      <c r="G38" s="62" t="str">
        <f ca="1"/>
        <v>NAV</v>
      </c>
    </row>
    <row r="39" spans="1:7" x14ac:dyDescent="0.3">
      <c r="A39" s="28" t="s">
        <v>19</v>
      </c>
      <c r="B39" s="62" t="str">
        <f ca="1"/>
        <v>NAV</v>
      </c>
      <c r="C39" s="62" t="str">
        <f ca="1"/>
        <v>NAV</v>
      </c>
      <c r="D39" s="62" t="str">
        <f ca="1"/>
        <v>NAV</v>
      </c>
      <c r="E39" s="62" t="str">
        <f ca="1"/>
        <v>NAV</v>
      </c>
      <c r="F39" s="62" t="str">
        <f ca="1"/>
        <v>NAV</v>
      </c>
      <c r="G39" s="62" t="str">
        <f ca="1"/>
        <v>NAV</v>
      </c>
    </row>
    <row r="40" spans="1:7" x14ac:dyDescent="0.3">
      <c r="A40" s="28" t="s">
        <v>152</v>
      </c>
      <c r="B40" s="62" t="str">
        <f ca="1"/>
        <v>NAV</v>
      </c>
      <c r="C40" s="62" t="str">
        <f ca="1"/>
        <v>NAV</v>
      </c>
      <c r="D40" s="62" t="str">
        <f ca="1"/>
        <v>NAV</v>
      </c>
      <c r="E40" s="62" t="str">
        <f ca="1"/>
        <v>NAV</v>
      </c>
      <c r="F40" s="62" t="str">
        <f ca="1"/>
        <v>NAV</v>
      </c>
      <c r="G40" s="62" t="str">
        <f ca="1"/>
        <v>NAV</v>
      </c>
    </row>
    <row r="41" spans="1:7" x14ac:dyDescent="0.3">
      <c r="A41" s="28" t="s">
        <v>22</v>
      </c>
      <c r="B41" s="62" t="str">
        <f ca="1"/>
        <v>NAV</v>
      </c>
      <c r="C41" s="62" t="str">
        <f ca="1"/>
        <v>NAV</v>
      </c>
      <c r="D41" s="62" t="str">
        <f ca="1"/>
        <v>NAV</v>
      </c>
      <c r="E41" s="62" t="str">
        <f ca="1"/>
        <v>NAV</v>
      </c>
      <c r="F41" s="62" t="str">
        <f ca="1"/>
        <v>NAV</v>
      </c>
      <c r="G41" s="62" t="str">
        <f ca="1"/>
        <v>NAV</v>
      </c>
    </row>
    <row r="42" spans="1:7" x14ac:dyDescent="0.3">
      <c r="A42" s="28" t="s">
        <v>25</v>
      </c>
      <c r="B42" s="62" t="str">
        <f ca="1"/>
        <v>NAV</v>
      </c>
      <c r="C42" s="62" t="str">
        <f ca="1"/>
        <v>NAV</v>
      </c>
      <c r="D42" s="62" t="str">
        <f ca="1"/>
        <v>NAV</v>
      </c>
      <c r="E42" s="62" t="str">
        <f ca="1"/>
        <v>NAV</v>
      </c>
      <c r="F42" s="62" t="str">
        <f ca="1"/>
        <v>NAV</v>
      </c>
      <c r="G42" s="62" t="str">
        <f ca="1"/>
        <v>NAV</v>
      </c>
    </row>
    <row r="43" spans="1:7" x14ac:dyDescent="0.3">
      <c r="A43" s="28" t="s">
        <v>26</v>
      </c>
      <c r="B43" s="62" t="str">
        <f ca="1"/>
        <v>NAV</v>
      </c>
      <c r="C43" s="62" t="str">
        <f ca="1"/>
        <v>NAV</v>
      </c>
      <c r="D43" s="62" t="str">
        <f ca="1"/>
        <v>NAV</v>
      </c>
      <c r="E43" s="62" t="str">
        <f ca="1"/>
        <v>NAV</v>
      </c>
      <c r="F43" s="62" t="str">
        <f ca="1"/>
        <v>NAV</v>
      </c>
      <c r="G43" s="62" t="str">
        <f ca="1"/>
        <v>NAV</v>
      </c>
    </row>
    <row r="44" spans="1:7" x14ac:dyDescent="0.3">
      <c r="A44" s="28" t="s">
        <v>29</v>
      </c>
      <c r="B44" s="62" t="str">
        <f ca="1"/>
        <v>NAV</v>
      </c>
      <c r="C44" s="62" t="str">
        <f ca="1"/>
        <v>NAV</v>
      </c>
      <c r="D44" s="62" t="str">
        <f ca="1"/>
        <v>NAV</v>
      </c>
      <c r="E44" s="62" t="str">
        <f ca="1"/>
        <v>NAV</v>
      </c>
      <c r="F44" s="62" t="str">
        <f ca="1"/>
        <v>NAV</v>
      </c>
      <c r="G44" s="62" t="str">
        <f ca="1"/>
        <v>NAV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B4B5D4-8BF2-4EC3-9CB9-E1FE1F7F141C}">
          <x14:formula1>
            <xm:f>' BACK END MODEL'!$D$4:$D$5</xm:f>
          </x14:formula1>
          <xm:sqref>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B4C88-4A54-402E-BF2D-BA8F94813D90}">
  <dimension ref="A4:I18"/>
  <sheetViews>
    <sheetView tabSelected="1" workbookViewId="0">
      <selection activeCell="D7" sqref="D7"/>
    </sheetView>
  </sheetViews>
  <sheetFormatPr defaultRowHeight="14.4" x14ac:dyDescent="0.3"/>
  <cols>
    <col min="2" max="2" width="22.21875" bestFit="1" customWidth="1"/>
    <col min="3" max="3" width="11.88671875" customWidth="1"/>
    <col min="4" max="4" width="11.6640625" customWidth="1"/>
  </cols>
  <sheetData>
    <row r="4" spans="1:9" x14ac:dyDescent="0.3">
      <c r="A4" t="s">
        <v>176</v>
      </c>
      <c r="B4" t="s">
        <v>87</v>
      </c>
    </row>
    <row r="6" spans="1:9" x14ac:dyDescent="0.3">
      <c r="A6" s="4"/>
      <c r="B6" s="4"/>
      <c r="C6" s="27"/>
      <c r="D6" s="27" t="s">
        <v>163</v>
      </c>
      <c r="E6" s="27" t="s">
        <v>164</v>
      </c>
      <c r="F6" s="27" t="s">
        <v>165</v>
      </c>
      <c r="G6" s="27" t="s">
        <v>166</v>
      </c>
      <c r="H6" s="27" t="s">
        <v>167</v>
      </c>
      <c r="I6" s="27" t="s">
        <v>168</v>
      </c>
    </row>
    <row r="7" spans="1:9" x14ac:dyDescent="0.3">
      <c r="C7" s="28" t="s">
        <v>9</v>
      </c>
      <c r="D7" t="str">
        <f>IF(ISNUMBER(MATCH(' BACK END MODEL'!E59,'RAW DATA'!$L$2:$L$325,0)),VLOOKUP(' BACK END MODEL'!E59,'RAW DATA'!$L$2:$P$325,4,0),"LEISURE")</f>
        <v>LEISURE</v>
      </c>
      <c r="E7" t="str">
        <f>IF(ISNUMBER(MATCH(' BACK END MODEL'!F59,'RAW DATA'!$L$2:$L$325,0)),VLOOKUP(' BACK END MODEL'!F59,'RAW DATA'!$L$2:$P$325,4,0),"LEISURE")</f>
        <v>LEISURE</v>
      </c>
      <c r="F7" t="str">
        <f>IF(ISNUMBER(MATCH(' BACK END MODEL'!G59,'RAW DATA'!$L$2:$L$325,0)),VLOOKUP(' BACK END MODEL'!G59,'RAW DATA'!$L$2:$P$325,4,0),"LEISURE")</f>
        <v>LEISURE</v>
      </c>
      <c r="G7" t="str">
        <f>IF(ISNUMBER(MATCH(' BACK END MODEL'!H59,'RAW DATA'!$L$2:$L$325,0)),VLOOKUP(' BACK END MODEL'!H59,'RAW DATA'!$L$2:$P$325,4,0),"LEISURE")</f>
        <v>LEISURE</v>
      </c>
      <c r="H7" t="str">
        <f>IF(ISNUMBER(MATCH(' BACK END MODEL'!I59,'RAW DATA'!$L$2:$L$325,0)),VLOOKUP(' BACK END MODEL'!I59,'RAW DATA'!$L$2:$P$325,4,0),"LEISURE")</f>
        <v>LEISURE</v>
      </c>
      <c r="I7" t="str">
        <f>IF(ISNUMBER(MATCH(' BACK END MODEL'!J59,'RAW DATA'!$L$2:$L$325,0)),VLOOKUP(' BACK END MODEL'!J59,'RAW DATA'!$L$2:$P$325,4,0),"LEISURE")</f>
        <v>LEISURE</v>
      </c>
    </row>
    <row r="8" spans="1:9" x14ac:dyDescent="0.3">
      <c r="C8" s="28" t="s">
        <v>13</v>
      </c>
      <c r="D8" t="str">
        <f>IF(ISNUMBER(MATCH(' BACK END MODEL'!E60,'RAW DATA'!$L$2:$L$325,0)),VLOOKUP(' BACK END MODEL'!E60,'RAW DATA'!$L$2:$P$325,4,0),"LEISURE")</f>
        <v>LEISURE</v>
      </c>
      <c r="E8" t="str">
        <f>IF(ISNUMBER(MATCH(' BACK END MODEL'!F60,'RAW DATA'!$L$2:$L$325,0)),VLOOKUP(' BACK END MODEL'!F60,'RAW DATA'!$L$2:$P$325,4,0),"LEISURE")</f>
        <v>LEISURE</v>
      </c>
      <c r="F8" t="str">
        <f>IF(ISNUMBER(MATCH(' BACK END MODEL'!G60,'RAW DATA'!$L$2:$L$325,0)),VLOOKUP(' BACK END MODEL'!G60,'RAW DATA'!$L$2:$P$325,4,0),"LEISURE")</f>
        <v>LEISURE</v>
      </c>
      <c r="G8" t="str">
        <f>IF(ISNUMBER(MATCH(' BACK END MODEL'!H60,'RAW DATA'!$L$2:$L$325,0)),VLOOKUP(' BACK END MODEL'!H60,'RAW DATA'!$L$2:$P$325,4,0),"LEISURE")</f>
        <v>LEISURE</v>
      </c>
      <c r="H8" t="str">
        <f>IF(ISNUMBER(MATCH(' BACK END MODEL'!I60,'RAW DATA'!$L$2:$L$325,0)),VLOOKUP(' BACK END MODEL'!I60,'RAW DATA'!$L$2:$P$325,4,0),"LEISURE")</f>
        <v>LEISURE</v>
      </c>
      <c r="I8" t="str">
        <f>IF(ISNUMBER(MATCH(' BACK END MODEL'!J60,'RAW DATA'!$L$2:$L$325,0)),VLOOKUP(' BACK END MODEL'!J60,'RAW DATA'!$L$2:$P$325,4,0),"LEISURE")</f>
        <v>LEISURE</v>
      </c>
    </row>
    <row r="9" spans="1:9" x14ac:dyDescent="0.3">
      <c r="C9" s="28" t="s">
        <v>15</v>
      </c>
      <c r="D9" t="str">
        <f>IF(ISNUMBER(MATCH(' BACK END MODEL'!E61,'RAW DATA'!$L$2:$L$325,0)),VLOOKUP(' BACK END MODEL'!E61,'RAW DATA'!$L$2:$P$325,4,0),"LEISURE")</f>
        <v>LEISURE</v>
      </c>
      <c r="E9" t="str">
        <f>IF(ISNUMBER(MATCH(' BACK END MODEL'!F61,'RAW DATA'!$L$2:$L$325,0)),VLOOKUP(' BACK END MODEL'!F61,'RAW DATA'!$L$2:$P$325,4,0),"LEISURE")</f>
        <v>LEISURE</v>
      </c>
      <c r="F9" t="str">
        <f>IF(ISNUMBER(MATCH(' BACK END MODEL'!G61,'RAW DATA'!$L$2:$L$325,0)),VLOOKUP(' BACK END MODEL'!G61,'RAW DATA'!$L$2:$P$325,4,0),"LEISURE")</f>
        <v>BA209</v>
      </c>
      <c r="G9" t="str">
        <f>IF(ISNUMBER(MATCH(' BACK END MODEL'!H61,'RAW DATA'!$L$2:$L$325,0)),VLOOKUP(' BACK END MODEL'!H61,'RAW DATA'!$L$2:$P$325,4,0),"LEISURE")</f>
        <v>BA209</v>
      </c>
      <c r="H9" t="str">
        <f>IF(ISNUMBER(MATCH(' BACK END MODEL'!I61,'RAW DATA'!$L$2:$L$325,0)),VLOOKUP(' BACK END MODEL'!I61,'RAW DATA'!$L$2:$P$325,4,0),"LEISURE")</f>
        <v>LEISURE</v>
      </c>
      <c r="I9" t="str">
        <f>IF(ISNUMBER(MATCH(' BACK END MODEL'!J61,'RAW DATA'!$L$2:$L$325,0)),VLOOKUP(' BACK END MODEL'!J61,'RAW DATA'!$L$2:$P$325,4,0),"LEISURE")</f>
        <v>LEISURE</v>
      </c>
    </row>
    <row r="10" spans="1:9" x14ac:dyDescent="0.3">
      <c r="C10" s="28" t="s">
        <v>19</v>
      </c>
      <c r="D10" t="str">
        <f>IF(ISNUMBER(MATCH(' BACK END MODEL'!E62,'RAW DATA'!$L$2:$L$325,0)),VLOOKUP(' BACK END MODEL'!E62,'RAW DATA'!$L$2:$P$325,4,0),"LEISURE")</f>
        <v>LEISURE</v>
      </c>
      <c r="E10" t="str">
        <f>IF(ISNUMBER(MATCH(' BACK END MODEL'!F62,'RAW DATA'!$L$2:$L$325,0)),VLOOKUP(' BACK END MODEL'!F62,'RAW DATA'!$L$2:$P$325,4,0),"LEISURE")</f>
        <v>LEISURE</v>
      </c>
      <c r="F10" t="str">
        <f>IF(ISNUMBER(MATCH(' BACK END MODEL'!G62,'RAW DATA'!$L$2:$L$325,0)),VLOOKUP(' BACK END MODEL'!G62,'RAW DATA'!$L$2:$P$325,4,0),"LEISURE")</f>
        <v>BA209</v>
      </c>
      <c r="G10" t="str">
        <f>IF(ISNUMBER(MATCH(' BACK END MODEL'!H62,'RAW DATA'!$L$2:$L$325,0)),VLOOKUP(' BACK END MODEL'!H62,'RAW DATA'!$L$2:$P$325,4,0),"LEISURE")</f>
        <v>BA209</v>
      </c>
      <c r="H10" t="str">
        <f>IF(ISNUMBER(MATCH(' BACK END MODEL'!I62,'RAW DATA'!$L$2:$L$325,0)),VLOOKUP(' BACK END MODEL'!I62,'RAW DATA'!$L$2:$P$325,4,0),"LEISURE")</f>
        <v>LEISURE</v>
      </c>
      <c r="I10" t="str">
        <f>IF(ISNUMBER(MATCH(' BACK END MODEL'!J62,'RAW DATA'!$L$2:$L$325,0)),VLOOKUP(' BACK END MODEL'!J62,'RAW DATA'!$L$2:$P$325,4,0),"LEISURE")</f>
        <v>LEISURE</v>
      </c>
    </row>
    <row r="11" spans="1:9" x14ac:dyDescent="0.3">
      <c r="C11" s="28" t="s">
        <v>152</v>
      </c>
      <c r="D11" t="str">
        <f>IF(ISNUMBER(MATCH(' BACK END MODEL'!E63,'RAW DATA'!$L$2:$L$325,0)),VLOOKUP(' BACK END MODEL'!E63,'RAW DATA'!$L$2:$P$325,4,0),"LEISURE")</f>
        <v>LEISURE</v>
      </c>
      <c r="E11" t="str">
        <f>IF(ISNUMBER(MATCH(' BACK END MODEL'!F63,'RAW DATA'!$L$2:$L$325,0)),VLOOKUP(' BACK END MODEL'!F63,'RAW DATA'!$L$2:$P$325,4,0),"LEISURE")</f>
        <v>LEISURE</v>
      </c>
      <c r="F11" t="str">
        <f>IF(ISNUMBER(MATCH(' BACK END MODEL'!G63,'RAW DATA'!$L$2:$L$325,0)),VLOOKUP(' BACK END MODEL'!G63,'RAW DATA'!$L$2:$P$325,4,0),"LEISURE")</f>
        <v>LEISURE</v>
      </c>
      <c r="G11" t="str">
        <f>IF(ISNUMBER(MATCH(' BACK END MODEL'!H63,'RAW DATA'!$L$2:$L$325,0)),VLOOKUP(' BACK END MODEL'!H63,'RAW DATA'!$L$2:$P$325,4,0),"LEISURE")</f>
        <v>LEISURE</v>
      </c>
      <c r="H11" t="str">
        <f>IF(ISNUMBER(MATCH(' BACK END MODEL'!I63,'RAW DATA'!$L$2:$L$325,0)),VLOOKUP(' BACK END MODEL'!I63,'RAW DATA'!$L$2:$P$325,4,0),"LEISURE")</f>
        <v>LEISURE</v>
      </c>
      <c r="I11" t="str">
        <f>IF(ISNUMBER(MATCH(' BACK END MODEL'!J63,'RAW DATA'!$L$2:$L$325,0)),VLOOKUP(' BACK END MODEL'!J63,'RAW DATA'!$L$2:$P$325,4,0),"LEISURE")</f>
        <v>LEISURE</v>
      </c>
    </row>
    <row r="12" spans="1:9" x14ac:dyDescent="0.3">
      <c r="C12" s="28" t="s">
        <v>22</v>
      </c>
      <c r="D12" t="str">
        <f>IF(ISNUMBER(MATCH(' BACK END MODEL'!E64,'RAW DATA'!$L$2:$L$325,0)),VLOOKUP(' BACK END MODEL'!E64,'RAW DATA'!$L$2:$P$325,4,0),"LEISURE")</f>
        <v>LEISURE</v>
      </c>
      <c r="E12" t="str">
        <f>IF(ISNUMBER(MATCH(' BACK END MODEL'!F64,'RAW DATA'!$L$2:$L$325,0)),VLOOKUP(' BACK END MODEL'!F64,'RAW DATA'!$L$2:$P$325,4,0),"LEISURE")</f>
        <v>LEISURE</v>
      </c>
      <c r="F12" t="str">
        <f>IF(ISNUMBER(MATCH(' BACK END MODEL'!G64,'RAW DATA'!$L$2:$L$325,0)),VLOOKUP(' BACK END MODEL'!G64,'RAW DATA'!$L$2:$P$325,4,0),"LEISURE")</f>
        <v>LEISURE</v>
      </c>
      <c r="G12" t="str">
        <f>IF(ISNUMBER(MATCH(' BACK END MODEL'!H64,'RAW DATA'!$L$2:$L$325,0)),VLOOKUP(' BACK END MODEL'!H64,'RAW DATA'!$L$2:$P$325,4,0),"LEISURE")</f>
        <v>LEISURE</v>
      </c>
      <c r="H12" t="str">
        <f>IF(ISNUMBER(MATCH(' BACK END MODEL'!I64,'RAW DATA'!$L$2:$L$325,0)),VLOOKUP(' BACK END MODEL'!I64,'RAW DATA'!$L$2:$P$325,4,0),"LEISURE")</f>
        <v>LEISURE</v>
      </c>
      <c r="I12" t="str">
        <f>IF(ISNUMBER(MATCH(' BACK END MODEL'!J64,'RAW DATA'!$L$2:$L$325,0)),VLOOKUP(' BACK END MODEL'!J64,'RAW DATA'!$L$2:$P$325,4,0),"LEISURE")</f>
        <v>LEISURE</v>
      </c>
    </row>
    <row r="13" spans="1:9" x14ac:dyDescent="0.3">
      <c r="C13" s="28" t="s">
        <v>25</v>
      </c>
      <c r="D13" t="str">
        <f>IF(ISNUMBER(MATCH(' BACK END MODEL'!E65,'RAW DATA'!$L$2:$L$325,0)),VLOOKUP(' BACK END MODEL'!E65,'RAW DATA'!$L$2:$P$325,4,0),"LEISURE")</f>
        <v>LEISURE</v>
      </c>
      <c r="E13" t="str">
        <f>IF(ISNUMBER(MATCH(' BACK END MODEL'!F65,'RAW DATA'!$L$2:$L$325,0)),VLOOKUP(' BACK END MODEL'!F65,'RAW DATA'!$L$2:$P$325,4,0),"LEISURE")</f>
        <v>LEISURE</v>
      </c>
      <c r="F13" t="str">
        <f>IF(ISNUMBER(MATCH(' BACK END MODEL'!G65,'RAW DATA'!$L$2:$L$325,0)),VLOOKUP(' BACK END MODEL'!G65,'RAW DATA'!$L$2:$P$325,4,0),"LEISURE")</f>
        <v>LEISURE</v>
      </c>
      <c r="G13" t="str">
        <f>IF(ISNUMBER(MATCH(' BACK END MODEL'!H65,'RAW DATA'!$L$2:$L$325,0)),VLOOKUP(' BACK END MODEL'!H65,'RAW DATA'!$L$2:$P$325,4,0),"LEISURE")</f>
        <v>LEISURE</v>
      </c>
      <c r="H13" t="str">
        <f>IF(ISNUMBER(MATCH(' BACK END MODEL'!I65,'RAW DATA'!$L$2:$L$325,0)),VLOOKUP(' BACK END MODEL'!I65,'RAW DATA'!$L$2:$P$325,4,0),"LEISURE")</f>
        <v>LEISURE</v>
      </c>
      <c r="I13" t="str">
        <f>IF(ISNUMBER(MATCH(' BACK END MODEL'!J65,'RAW DATA'!$L$2:$L$325,0)),VLOOKUP(' BACK END MODEL'!J65,'RAW DATA'!$L$2:$P$325,4,0),"LEISURE")</f>
        <v>LEISURE</v>
      </c>
    </row>
    <row r="14" spans="1:9" x14ac:dyDescent="0.3">
      <c r="C14" s="28" t="s">
        <v>26</v>
      </c>
      <c r="D14" t="str">
        <f>IF(ISNUMBER(MATCH(' BACK END MODEL'!E66,'RAW DATA'!$L$2:$L$325,0)),VLOOKUP(' BACK END MODEL'!E66,'RAW DATA'!$L$2:$P$325,4,0),"LEISURE")</f>
        <v>LEISURE</v>
      </c>
      <c r="E14" t="str">
        <f>IF(ISNUMBER(MATCH(' BACK END MODEL'!F66,'RAW DATA'!$L$2:$L$325,0)),VLOOKUP(' BACK END MODEL'!F66,'RAW DATA'!$L$2:$P$325,4,0),"LEISURE")</f>
        <v>LEISURE</v>
      </c>
      <c r="F14" t="str">
        <f>IF(ISNUMBER(MATCH(' BACK END MODEL'!G66,'RAW DATA'!$L$2:$L$325,0)),VLOOKUP(' BACK END MODEL'!G66,'RAW DATA'!$L$2:$P$325,4,0),"LEISURE")</f>
        <v>LEISURE</v>
      </c>
      <c r="G14" t="str">
        <f>IF(ISNUMBER(MATCH(' BACK END MODEL'!H66,'RAW DATA'!$L$2:$L$325,0)),VLOOKUP(' BACK END MODEL'!H66,'RAW DATA'!$L$2:$P$325,4,0),"LEISURE")</f>
        <v>LEISURE</v>
      </c>
      <c r="H14" t="str">
        <f>IF(ISNUMBER(MATCH(' BACK END MODEL'!I66,'RAW DATA'!$L$2:$L$325,0)),VLOOKUP(' BACK END MODEL'!I66,'RAW DATA'!$L$2:$P$325,4,0),"LEISURE")</f>
        <v>LEISURE</v>
      </c>
      <c r="I14" t="str">
        <f>IF(ISNUMBER(MATCH(' BACK END MODEL'!J66,'RAW DATA'!$L$2:$L$325,0)),VLOOKUP(' BACK END MODEL'!J66,'RAW DATA'!$L$2:$P$325,4,0),"LEISURE")</f>
        <v>LEISURE</v>
      </c>
    </row>
    <row r="15" spans="1:9" x14ac:dyDescent="0.3">
      <c r="C15" s="28" t="s">
        <v>29</v>
      </c>
      <c r="D15" t="str">
        <f>IF(ISNUMBER(MATCH(' BACK END MODEL'!E67,'RAW DATA'!$L$2:$L$325,0)),VLOOKUP(' BACK END MODEL'!E67,'RAW DATA'!$L$2:$P$325,4,0),"LEISURE")</f>
        <v>LEISURE</v>
      </c>
      <c r="E15" t="str">
        <f>IF(ISNUMBER(MATCH(' BACK END MODEL'!F67,'RAW DATA'!$L$2:$L$325,0)),VLOOKUP(' BACK END MODEL'!F67,'RAW DATA'!$L$2:$P$325,4,0),"LEISURE")</f>
        <v>LEISURE</v>
      </c>
      <c r="F15" t="str">
        <f>IF(ISNUMBER(MATCH(' BACK END MODEL'!G67,'RAW DATA'!$L$2:$L$325,0)),VLOOKUP(' BACK END MODEL'!G67,'RAW DATA'!$L$2:$P$325,4,0),"LEISURE")</f>
        <v>LEISURE</v>
      </c>
      <c r="G15" t="str">
        <f>IF(ISNUMBER(MATCH(' BACK END MODEL'!H67,'RAW DATA'!$L$2:$L$325,0)),VLOOKUP(' BACK END MODEL'!H67,'RAW DATA'!$L$2:$P$325,4,0),"LEISURE")</f>
        <v>LEISURE</v>
      </c>
      <c r="H15" t="str">
        <f>IF(ISNUMBER(MATCH(' BACK END MODEL'!I67,'RAW DATA'!$L$2:$L$325,0)),VLOOKUP(' BACK END MODEL'!I67,'RAW DATA'!$L$2:$P$325,4,0),"LEISURE")</f>
        <v>LEISURE</v>
      </c>
      <c r="I15" t="str">
        <f>IF(ISNUMBER(MATCH(' BACK END MODEL'!J67,'RAW DATA'!$L$2:$L$325,0)),VLOOKUP(' BACK END MODEL'!J67,'RAW DATA'!$L$2:$P$325,4,0),"LEISURE")</f>
        <v>LEISURE</v>
      </c>
    </row>
    <row r="16" spans="1:9" x14ac:dyDescent="0.3">
      <c r="C16" s="58"/>
    </row>
    <row r="18" spans="3:3" x14ac:dyDescent="0.3">
      <c r="C18" s="5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54D916-1039-427C-8473-63043A54BCCE}">
          <x14:formula1>
            <xm:f>' BACK END MODEL'!$E$4:$E$20</xm:f>
          </x14:formula1>
          <xm:sqref>B4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BD5F-066A-431F-B9A0-96C836A703ED}">
  <dimension ref="A2:D74"/>
  <sheetViews>
    <sheetView workbookViewId="0">
      <selection activeCell="B2" sqref="B2"/>
    </sheetView>
  </sheetViews>
  <sheetFormatPr defaultRowHeight="14.4" x14ac:dyDescent="0.3"/>
  <cols>
    <col min="1" max="1" width="10.77734375" bestFit="1" customWidth="1"/>
    <col min="2" max="2" width="9.5546875" bestFit="1" customWidth="1"/>
    <col min="3" max="3" width="36.5546875" bestFit="1" customWidth="1"/>
    <col min="4" max="4" width="22.21875" bestFit="1" customWidth="1"/>
  </cols>
  <sheetData>
    <row r="2" spans="1:4" x14ac:dyDescent="0.3">
      <c r="A2" t="s">
        <v>144</v>
      </c>
      <c r="B2" t="s">
        <v>3</v>
      </c>
    </row>
    <row r="4" spans="1:4" x14ac:dyDescent="0.3">
      <c r="A4" t="s">
        <v>161</v>
      </c>
    </row>
    <row r="5" spans="1:4" x14ac:dyDescent="0.3">
      <c r="A5" s="35" t="s">
        <v>145</v>
      </c>
      <c r="B5" s="35" t="s">
        <v>149</v>
      </c>
      <c r="C5" s="35" t="s">
        <v>150</v>
      </c>
      <c r="D5" s="35" t="s">
        <v>176</v>
      </c>
    </row>
    <row r="6" spans="1:4" x14ac:dyDescent="0.3">
      <c r="A6" s="36" t="s">
        <v>9</v>
      </c>
      <c r="B6" s="50" t="str" cm="1">
        <f t="array" ref="B6:B14">IF($B$2="MONDAY",INDEX(BA__2,0,1),IF($B$2="TUESDAY",INDEX(BA__2,0,2),IF($B$2="WEDNESDAY",INDEX(BA__2,0,3),IF($B$2="THURSDAY",INDEX(BA__2,0,4),IF($B$2="FRIDAY",INDEX(BA__2,0,5),IF($B$2="SATURDAY",INDEX(BA__2,0,6),"NA"))))))</f>
        <v>BA203</v>
      </c>
      <c r="C6" s="50" t="str">
        <f>VLOOKUP(B6,'RAW DATA'!$H$2:$I$325,2,0)</f>
        <v>Operations Research</v>
      </c>
      <c r="D6" s="50" t="str">
        <f>VLOOKUP(B6,'RAW DATA'!$H$2:$J$325,3,0)</f>
        <v>Dr. Pramod Kumar Mishra</v>
      </c>
    </row>
    <row r="7" spans="1:4" x14ac:dyDescent="0.3">
      <c r="A7" s="36" t="s">
        <v>13</v>
      </c>
      <c r="B7" s="50" t="str">
        <v>BA203</v>
      </c>
      <c r="C7" s="50" t="str">
        <f>VLOOKUP(B7,'RAW DATA'!$H$2:$I$325,2,0)</f>
        <v>Operations Research</v>
      </c>
      <c r="D7" s="50" t="str">
        <f>VLOOKUP(B7,'RAW DATA'!$H$2:$J$325,3,0)</f>
        <v>Dr. Pramod Kumar Mishra</v>
      </c>
    </row>
    <row r="8" spans="1:4" x14ac:dyDescent="0.3">
      <c r="A8" s="36" t="s">
        <v>15</v>
      </c>
      <c r="B8" s="50" t="str">
        <v>LEISURE</v>
      </c>
      <c r="C8" s="50" t="str">
        <f>VLOOKUP(B8,'RAW DATA'!$H$2:$I$325,2,0)</f>
        <v>NA</v>
      </c>
      <c r="D8" s="50" t="str">
        <f>VLOOKUP(B8,'RAW DATA'!$H$2:$J$325,3,0)</f>
        <v>NA</v>
      </c>
    </row>
    <row r="9" spans="1:4" x14ac:dyDescent="0.3">
      <c r="A9" s="36" t="s">
        <v>19</v>
      </c>
      <c r="B9" s="50" t="str">
        <v>LEISURE</v>
      </c>
      <c r="C9" s="50" t="str">
        <f>VLOOKUP(B9,'RAW DATA'!$H$2:$I$325,2,0)</f>
        <v>NA</v>
      </c>
      <c r="D9" s="50" t="str">
        <f>VLOOKUP(B9,'RAW DATA'!$H$2:$J$325,3,0)</f>
        <v>NA</v>
      </c>
    </row>
    <row r="10" spans="1:4" x14ac:dyDescent="0.3">
      <c r="A10" s="36" t="s">
        <v>152</v>
      </c>
      <c r="B10" s="50" t="str">
        <v>LUNCH</v>
      </c>
      <c r="C10" s="50" t="str">
        <f>VLOOKUP(B10,'RAW DATA'!$H$2:$I$325,2,0)</f>
        <v>NA</v>
      </c>
      <c r="D10" s="50" t="str">
        <f>VLOOKUP(B10,'RAW DATA'!$H$2:$J$325,3,0)</f>
        <v>NA</v>
      </c>
    </row>
    <row r="11" spans="1:4" x14ac:dyDescent="0.3">
      <c r="A11" s="36" t="s">
        <v>22</v>
      </c>
      <c r="B11" s="50" t="str">
        <v>BA204</v>
      </c>
      <c r="C11" s="50" t="str">
        <f>VLOOKUP(B11,'RAW DATA'!$H$2:$I$325,2,0)</f>
        <v>Marketing Research</v>
      </c>
      <c r="D11" s="50" t="str">
        <f>VLOOKUP(B11,'RAW DATA'!$H$2:$J$325,3,0)</f>
        <v>Dr.D.V Srinivas Kumar</v>
      </c>
    </row>
    <row r="12" spans="1:4" x14ac:dyDescent="0.3">
      <c r="A12" s="36" t="s">
        <v>25</v>
      </c>
      <c r="B12" s="50" t="str">
        <v>BA204</v>
      </c>
      <c r="C12" s="50" t="str">
        <f>VLOOKUP(B12,'RAW DATA'!$H$2:$I$325,2,0)</f>
        <v>Marketing Research</v>
      </c>
      <c r="D12" s="50" t="str">
        <f>VLOOKUP(B12,'RAW DATA'!$H$2:$J$325,3,0)</f>
        <v>Dr.D.V Srinivas Kumar</v>
      </c>
    </row>
    <row r="13" spans="1:4" x14ac:dyDescent="0.3">
      <c r="A13" s="36" t="s">
        <v>26</v>
      </c>
      <c r="B13" s="50" t="str">
        <v>LEISURE</v>
      </c>
      <c r="C13" s="50" t="str">
        <f>VLOOKUP(B13,'RAW DATA'!$H$2:$I$325,2,0)</f>
        <v>NA</v>
      </c>
      <c r="D13" s="50" t="str">
        <f>VLOOKUP(B13,'RAW DATA'!$H$2:$J$325,3,0)</f>
        <v>NA</v>
      </c>
    </row>
    <row r="14" spans="1:4" x14ac:dyDescent="0.3">
      <c r="A14" s="36" t="s">
        <v>29</v>
      </c>
      <c r="B14" s="50" t="str">
        <v>LEISURE</v>
      </c>
      <c r="C14" s="50" t="str">
        <f>VLOOKUP(B14,'RAW DATA'!$H$2:$I$325,2,0)</f>
        <v>NA</v>
      </c>
      <c r="D14" s="50" t="str">
        <f>VLOOKUP(B14,'RAW DATA'!$H$2:$J$325,3,0)</f>
        <v>NA</v>
      </c>
    </row>
    <row r="16" spans="1:4" x14ac:dyDescent="0.3">
      <c r="A16" t="s">
        <v>162</v>
      </c>
    </row>
    <row r="17" spans="1:4" x14ac:dyDescent="0.3">
      <c r="A17" s="35" t="s">
        <v>145</v>
      </c>
      <c r="B17" s="35" t="s">
        <v>149</v>
      </c>
      <c r="C17" s="35" t="s">
        <v>150</v>
      </c>
      <c r="D17" s="35" t="s">
        <v>176</v>
      </c>
    </row>
    <row r="18" spans="1:4" x14ac:dyDescent="0.3">
      <c r="A18" s="36" t="s">
        <v>9</v>
      </c>
      <c r="B18" s="50" t="str" cm="1">
        <f t="array" ref="B18:B26">IF($B$2="MONDAY",INDEX(BA__4,0,1),IF($B$2="TUESDAY",INDEX(BA__4,0,2),IF($B$2="WEDNESDAY",INDEX(BA__4,0,3),IF($B$2="THURSDAY",INDEX(BA__4,0,4),IF($B$2="FRIDAY",INDEX(BA__4,0,5),IF($B$2="SATURDAY",INDEX(BA__4,0,6),"NA"))))))</f>
        <v>LEISURE</v>
      </c>
      <c r="C18" s="50" t="str">
        <f>VLOOKUP(B18,'RAW DATA'!$H$2:$I$325,2,0)</f>
        <v>NA</v>
      </c>
      <c r="D18" s="50" t="str">
        <f>VLOOKUP(B18,'RAW DATA'!$H$2:$J$325,3,0)</f>
        <v>NA</v>
      </c>
    </row>
    <row r="19" spans="1:4" x14ac:dyDescent="0.3">
      <c r="A19" s="36" t="s">
        <v>13</v>
      </c>
      <c r="B19" s="50" t="str">
        <v>LEISURE</v>
      </c>
      <c r="C19" s="50" t="str">
        <f>VLOOKUP(B19,'RAW DATA'!$H$2:$I$325,2,0)</f>
        <v>NA</v>
      </c>
      <c r="D19" s="50" t="str">
        <f>VLOOKUP(B19,'RAW DATA'!$H$2:$J$325,3,0)</f>
        <v>NA</v>
      </c>
    </row>
    <row r="20" spans="1:4" x14ac:dyDescent="0.3">
      <c r="A20" s="36" t="s">
        <v>15</v>
      </c>
      <c r="B20" s="50" t="str">
        <v>LEISURE</v>
      </c>
      <c r="C20" s="50" t="str">
        <f>VLOOKUP(B20,'RAW DATA'!$H$2:$I$325,2,0)</f>
        <v>NA</v>
      </c>
      <c r="D20" s="50" t="str">
        <f>VLOOKUP(B20,'RAW DATA'!$H$2:$J$325,3,0)</f>
        <v>NA</v>
      </c>
    </row>
    <row r="21" spans="1:4" x14ac:dyDescent="0.3">
      <c r="A21" s="36" t="s">
        <v>19</v>
      </c>
      <c r="B21" s="50" t="str">
        <v>LEISURE</v>
      </c>
      <c r="C21" s="50" t="str">
        <f>VLOOKUP(B21,'RAW DATA'!$H$2:$I$325,2,0)</f>
        <v>NA</v>
      </c>
      <c r="D21" s="50" t="str">
        <f>VLOOKUP(B21,'RAW DATA'!$H$2:$J$325,3,0)</f>
        <v>NA</v>
      </c>
    </row>
    <row r="22" spans="1:4" x14ac:dyDescent="0.3">
      <c r="A22" s="36" t="s">
        <v>152</v>
      </c>
      <c r="B22" s="50" t="str">
        <v>LUNCH</v>
      </c>
      <c r="C22" s="50" t="str">
        <f>VLOOKUP(B22,'RAW DATA'!$H$2:$I$325,2,0)</f>
        <v>NA</v>
      </c>
      <c r="D22" s="50" t="str">
        <f>VLOOKUP(B22,'RAW DATA'!$H$2:$J$325,3,0)</f>
        <v>NA</v>
      </c>
    </row>
    <row r="23" spans="1:4" x14ac:dyDescent="0.3">
      <c r="A23" s="36" t="s">
        <v>22</v>
      </c>
      <c r="B23" s="50" t="str">
        <v>LEISURE</v>
      </c>
      <c r="C23" s="50" t="str">
        <f>VLOOKUP(B23,'RAW DATA'!$H$2:$I$325,2,0)</f>
        <v>NA</v>
      </c>
      <c r="D23" s="50" t="str">
        <f>VLOOKUP(B23,'RAW DATA'!$H$2:$J$325,3,0)</f>
        <v>NA</v>
      </c>
    </row>
    <row r="24" spans="1:4" x14ac:dyDescent="0.3">
      <c r="A24" s="36" t="s">
        <v>25</v>
      </c>
      <c r="B24" s="50" t="str">
        <v>LEISURE</v>
      </c>
      <c r="C24" s="50" t="str">
        <f>VLOOKUP(B24,'RAW DATA'!$H$2:$I$325,2,0)</f>
        <v>NA</v>
      </c>
      <c r="D24" s="50" t="str">
        <f>VLOOKUP(B24,'RAW DATA'!$H$2:$J$325,3,0)</f>
        <v>NA</v>
      </c>
    </row>
    <row r="25" spans="1:4" x14ac:dyDescent="0.3">
      <c r="A25" s="36" t="s">
        <v>26</v>
      </c>
      <c r="B25" s="50" t="str">
        <v>LEISURE</v>
      </c>
      <c r="C25" s="50" t="str">
        <f>VLOOKUP(B25,'RAW DATA'!$H$2:$I$325,2,0)</f>
        <v>NA</v>
      </c>
      <c r="D25" s="50" t="str">
        <f>VLOOKUP(B25,'RAW DATA'!$H$2:$J$325,3,0)</f>
        <v>NA</v>
      </c>
    </row>
    <row r="26" spans="1:4" x14ac:dyDescent="0.3">
      <c r="A26" s="36" t="s">
        <v>29</v>
      </c>
      <c r="B26" s="50" t="str">
        <v>LEISURE</v>
      </c>
      <c r="C26" s="50" t="str">
        <f>VLOOKUP(B26,'RAW DATA'!$H$2:$I$325,2,0)</f>
        <v>NA</v>
      </c>
      <c r="D26" s="50" t="str">
        <f>VLOOKUP(B26,'RAW DATA'!$H$2:$J$325,3,0)</f>
        <v>NA</v>
      </c>
    </row>
    <row r="28" spans="1:4" x14ac:dyDescent="0.3">
      <c r="A28" t="s">
        <v>218</v>
      </c>
    </row>
    <row r="29" spans="1:4" x14ac:dyDescent="0.3">
      <c r="A29" s="35" t="s">
        <v>145</v>
      </c>
      <c r="B29" s="35" t="s">
        <v>149</v>
      </c>
      <c r="C29" s="35" t="s">
        <v>150</v>
      </c>
      <c r="D29" s="35" t="s">
        <v>176</v>
      </c>
    </row>
    <row r="30" spans="1:4" x14ac:dyDescent="0.3">
      <c r="A30" s="36" t="s">
        <v>9</v>
      </c>
      <c r="B30" s="50" t="str" cm="1">
        <f t="array" ref="B30:B38">IF($B$2="MONDAY",INDEX(GE__2,0,1),IF($B$2="TUESDAY",INDEX(GE__2,0,2),IF($B$2="WEDNESDAY",INDEX(GE__2,0,3),IF($B$2="THURSDAY",INDEX(GE__2,0,4),IF($B$2="FRIDAY",INDEX(GE__2,0,5),IF($B$2="SATURDAY",INDEX(GE__2,0,6),"NA"))))))</f>
        <v>GE202</v>
      </c>
      <c r="C30" s="50" t="str">
        <f>VLOOKUP(B30,'RAW DATA'!$H$2:$I$325,2,0)</f>
        <v>Operations Research</v>
      </c>
      <c r="D30" s="50" t="str">
        <f>VLOOKUP(B30,'RAW DATA'!$H$2:$J$325,3,0)</f>
        <v>Dr. Pramod Kumar Mishra</v>
      </c>
    </row>
    <row r="31" spans="1:4" x14ac:dyDescent="0.3">
      <c r="A31" s="36" t="s">
        <v>13</v>
      </c>
      <c r="B31" s="50" t="str">
        <v>GE202</v>
      </c>
      <c r="C31" s="50" t="str">
        <f>VLOOKUP(B31,'RAW DATA'!$H$2:$I$325,2,0)</f>
        <v>Operations Research</v>
      </c>
      <c r="D31" s="50" t="str">
        <f>VLOOKUP(B31,'RAW DATA'!$H$2:$J$325,3,0)</f>
        <v>Dr. Pramod Kumar Mishra</v>
      </c>
    </row>
    <row r="32" spans="1:4" x14ac:dyDescent="0.3">
      <c r="A32" s="36" t="s">
        <v>15</v>
      </c>
      <c r="B32" s="50" t="str">
        <v>LEISURE</v>
      </c>
      <c r="C32" s="50" t="str">
        <f>VLOOKUP(B32,'RAW DATA'!$H$2:$I$325,2,0)</f>
        <v>NA</v>
      </c>
      <c r="D32" s="50" t="str">
        <f>VLOOKUP(B32,'RAW DATA'!$H$2:$J$325,3,0)</f>
        <v>NA</v>
      </c>
    </row>
    <row r="33" spans="1:4" x14ac:dyDescent="0.3">
      <c r="A33" s="36" t="s">
        <v>19</v>
      </c>
      <c r="B33" s="50" t="str">
        <v>LEISURE</v>
      </c>
      <c r="C33" s="50" t="str">
        <f>VLOOKUP(B33,'RAW DATA'!$H$2:$I$325,2,0)</f>
        <v>NA</v>
      </c>
      <c r="D33" s="50" t="str">
        <f>VLOOKUP(B33,'RAW DATA'!$H$2:$J$325,3,0)</f>
        <v>NA</v>
      </c>
    </row>
    <row r="34" spans="1:4" x14ac:dyDescent="0.3">
      <c r="A34" s="36" t="s">
        <v>152</v>
      </c>
      <c r="B34" s="50" t="str">
        <v>LUNCH</v>
      </c>
      <c r="C34" s="50" t="str">
        <f>VLOOKUP(B34,'RAW DATA'!$H$2:$I$325,2,0)</f>
        <v>NA</v>
      </c>
      <c r="D34" s="50" t="str">
        <f>VLOOKUP(B34,'RAW DATA'!$H$2:$J$325,3,0)</f>
        <v>NA</v>
      </c>
    </row>
    <row r="35" spans="1:4" x14ac:dyDescent="0.3">
      <c r="A35" s="36" t="s">
        <v>22</v>
      </c>
      <c r="B35" s="50" t="str">
        <v>GE204</v>
      </c>
      <c r="C35" s="50" t="str">
        <f>VLOOKUP(B35,'RAW DATA'!$H$2:$I$325,2,0)</f>
        <v>Strategic Marketing</v>
      </c>
      <c r="D35" s="50" t="str">
        <f>VLOOKUP(B35,'RAW DATA'!$H$2:$J$325,3,0)</f>
        <v>Prof. Chetan Srivastava</v>
      </c>
    </row>
    <row r="36" spans="1:4" x14ac:dyDescent="0.3">
      <c r="A36" s="36" t="s">
        <v>25</v>
      </c>
      <c r="B36" s="50" t="str">
        <v>GE204</v>
      </c>
      <c r="C36" s="50" t="str">
        <f>VLOOKUP(B36,'RAW DATA'!$H$2:$I$325,2,0)</f>
        <v>Strategic Marketing</v>
      </c>
      <c r="D36" s="50" t="str">
        <f>VLOOKUP(B36,'RAW DATA'!$H$2:$J$325,3,0)</f>
        <v>Prof. Chetan Srivastava</v>
      </c>
    </row>
    <row r="37" spans="1:4" x14ac:dyDescent="0.3">
      <c r="A37" s="36" t="s">
        <v>26</v>
      </c>
      <c r="B37" s="50" t="str">
        <v>LEISURE</v>
      </c>
      <c r="C37" s="50" t="str">
        <f>VLOOKUP(B37,'RAW DATA'!$H$2:$I$325,2,0)</f>
        <v>NA</v>
      </c>
      <c r="D37" s="50" t="str">
        <f>VLOOKUP(B37,'RAW DATA'!$H$2:$J$325,3,0)</f>
        <v>NA</v>
      </c>
    </row>
    <row r="38" spans="1:4" x14ac:dyDescent="0.3">
      <c r="A38" s="36" t="s">
        <v>29</v>
      </c>
      <c r="B38" s="50" t="str">
        <v>LEISURE</v>
      </c>
      <c r="C38" s="50" t="str">
        <f>VLOOKUP(B38,'RAW DATA'!$H$2:$I$325,2,0)</f>
        <v>NA</v>
      </c>
      <c r="D38" s="50" t="str">
        <f>VLOOKUP(B38,'RAW DATA'!$H$2:$J$325,3,0)</f>
        <v>NA</v>
      </c>
    </row>
    <row r="40" spans="1:4" x14ac:dyDescent="0.3">
      <c r="A40" t="s">
        <v>219</v>
      </c>
    </row>
    <row r="41" spans="1:4" x14ac:dyDescent="0.3">
      <c r="A41" s="35" t="s">
        <v>145</v>
      </c>
      <c r="B41" s="35" t="s">
        <v>149</v>
      </c>
      <c r="C41" s="35" t="s">
        <v>150</v>
      </c>
      <c r="D41" s="35" t="s">
        <v>176</v>
      </c>
    </row>
    <row r="42" spans="1:4" x14ac:dyDescent="0.3">
      <c r="A42" s="36" t="s">
        <v>9</v>
      </c>
      <c r="B42" s="50" t="str" cm="1">
        <f t="array" ref="B42:B50">IF($B$2="MONDAY",INDEX(GE__4,0,1),IF($B$2="TUESDAY",INDEX(GE__4,0,2),IF($B$2="WEDNESDAY",INDEX(GE__4,0,3),IF($B$2="THURSDAY",INDEX(GE__4,0,4),IF($B$2="FRIDAY",INDEX(GE__4,0,5),IF($B$2="SATURDAY",INDEX(GE__4,0,6),"NA"))))))</f>
        <v>LEISURE</v>
      </c>
      <c r="C42" s="50" t="str">
        <f>VLOOKUP(B42,'RAW DATA'!$H$2:$I$325,2,0)</f>
        <v>NA</v>
      </c>
      <c r="D42" s="50" t="str">
        <f>VLOOKUP(B42,'RAW DATA'!$H$2:$J$325,3,0)</f>
        <v>NA</v>
      </c>
    </row>
    <row r="43" spans="1:4" x14ac:dyDescent="0.3">
      <c r="A43" s="36" t="s">
        <v>13</v>
      </c>
      <c r="B43" s="50" t="str">
        <v>GE432</v>
      </c>
      <c r="C43" s="50" t="str">
        <f>VLOOKUP(B43,'RAW DATA'!$H$2:$I$325,2,0)</f>
        <v>Performance Management and Counselling</v>
      </c>
      <c r="D43" s="50" t="str">
        <f>VLOOKUP(B43,'RAW DATA'!$H$2:$J$325,3,0)</f>
        <v>Dr.Punam Singh</v>
      </c>
    </row>
    <row r="44" spans="1:4" x14ac:dyDescent="0.3">
      <c r="A44" s="36" t="s">
        <v>15</v>
      </c>
      <c r="B44" s="50" t="str">
        <v>GE432</v>
      </c>
      <c r="C44" s="50" t="str">
        <f>VLOOKUP(B44,'RAW DATA'!$H$2:$I$325,2,0)</f>
        <v>Performance Management and Counselling</v>
      </c>
      <c r="D44" s="50" t="str">
        <f>VLOOKUP(B44,'RAW DATA'!$H$2:$J$325,3,0)</f>
        <v>Dr.Punam Singh</v>
      </c>
    </row>
    <row r="45" spans="1:4" x14ac:dyDescent="0.3">
      <c r="A45" s="36" t="s">
        <v>19</v>
      </c>
      <c r="B45" s="50" t="str">
        <v>GE432</v>
      </c>
      <c r="C45" s="50" t="str">
        <f>VLOOKUP(B45,'RAW DATA'!$H$2:$I$325,2,0)</f>
        <v>Performance Management and Counselling</v>
      </c>
      <c r="D45" s="50" t="str">
        <f>VLOOKUP(B45,'RAW DATA'!$H$2:$J$325,3,0)</f>
        <v>Dr.Punam Singh</v>
      </c>
    </row>
    <row r="46" spans="1:4" x14ac:dyDescent="0.3">
      <c r="A46" s="36" t="s">
        <v>152</v>
      </c>
      <c r="B46" s="50" t="str">
        <v>LUNCH</v>
      </c>
      <c r="C46" s="50" t="str">
        <f>VLOOKUP(B46,'RAW DATA'!$H$2:$I$325,2,0)</f>
        <v>NA</v>
      </c>
      <c r="D46" s="50" t="str">
        <f>VLOOKUP(B46,'RAW DATA'!$H$2:$J$325,3,0)</f>
        <v>NA</v>
      </c>
    </row>
    <row r="47" spans="1:4" x14ac:dyDescent="0.3">
      <c r="A47" s="36" t="s">
        <v>22</v>
      </c>
      <c r="B47" s="50" t="str">
        <v>GE431</v>
      </c>
      <c r="C47" s="50" t="str">
        <f>VLOOKUP(B47,'RAW DATA'!$H$2:$I$325,2,0)</f>
        <v>Issues in HRM</v>
      </c>
      <c r="D47" s="50" t="str">
        <f>VLOOKUP(B47,'RAW DATA'!$H$2:$J$325,3,0)</f>
        <v>Prof. P. Jyothi</v>
      </c>
    </row>
    <row r="48" spans="1:4" x14ac:dyDescent="0.3">
      <c r="A48" s="36" t="s">
        <v>25</v>
      </c>
      <c r="B48" s="50" t="str">
        <v>GE431</v>
      </c>
      <c r="C48" s="50" t="str">
        <f>VLOOKUP(B48,'RAW DATA'!$H$2:$I$325,2,0)</f>
        <v>Issues in HRM</v>
      </c>
      <c r="D48" s="50" t="str">
        <f>VLOOKUP(B48,'RAW DATA'!$H$2:$J$325,3,0)</f>
        <v>Prof. P. Jyothi</v>
      </c>
    </row>
    <row r="49" spans="1:4" x14ac:dyDescent="0.3">
      <c r="A49" s="36" t="s">
        <v>26</v>
      </c>
      <c r="B49" s="50" t="str">
        <v>GE431</v>
      </c>
      <c r="C49" s="50" t="str">
        <f>VLOOKUP(B49,'RAW DATA'!$H$2:$I$325,2,0)</f>
        <v>Issues in HRM</v>
      </c>
      <c r="D49" s="50" t="str">
        <f>VLOOKUP(B49,'RAW DATA'!$H$2:$J$325,3,0)</f>
        <v>Prof. P. Jyothi</v>
      </c>
    </row>
    <row r="50" spans="1:4" x14ac:dyDescent="0.3">
      <c r="A50" s="36" t="s">
        <v>29</v>
      </c>
      <c r="B50" s="50" t="str">
        <v>LEISURE</v>
      </c>
      <c r="C50" s="50" t="str">
        <f>VLOOKUP(B50,'RAW DATA'!$H$2:$I$325,2,0)</f>
        <v>NA</v>
      </c>
      <c r="D50" s="50" t="str">
        <f>VLOOKUP(B50,'RAW DATA'!$H$2:$J$325,3,0)</f>
        <v>NA</v>
      </c>
    </row>
    <row r="52" spans="1:4" x14ac:dyDescent="0.3">
      <c r="A52" t="s">
        <v>171</v>
      </c>
    </row>
    <row r="53" spans="1:4" x14ac:dyDescent="0.3">
      <c r="A53" s="35" t="s">
        <v>145</v>
      </c>
      <c r="B53" s="35" t="s">
        <v>149</v>
      </c>
      <c r="C53" s="35" t="s">
        <v>150</v>
      </c>
      <c r="D53" s="35" t="s">
        <v>176</v>
      </c>
    </row>
    <row r="54" spans="1:4" x14ac:dyDescent="0.3">
      <c r="A54" s="36" t="s">
        <v>9</v>
      </c>
      <c r="B54" s="50" t="str" cm="1">
        <f t="array" ref="B54:B62">IF($B$2="MONDAY",INDEX(HC__2,0,1),IF($B$2="TUESDAY",INDEX(HC__2,0,2),IF($B$2="WEDNESDAY",INDEX(HC__2,0,3),IF($B$2="THURSDAY",INDEX(HC__2,0,4),IF($B$2="FRIDAY",INDEX(HC__2,0,5),IF($B$2="SATURDAY",INDEX(HC__2,0,6),"NA"))))))</f>
        <v>LEISURE</v>
      </c>
      <c r="C54" s="50" t="str">
        <f>VLOOKUP(B54,'RAW DATA'!$H$2:$I$325,2,0)</f>
        <v>NA</v>
      </c>
      <c r="D54" s="50" t="str">
        <f>VLOOKUP(B54,'RAW DATA'!$H$2:$J$325,3,0)</f>
        <v>NA</v>
      </c>
    </row>
    <row r="55" spans="1:4" x14ac:dyDescent="0.3">
      <c r="A55" s="36" t="s">
        <v>13</v>
      </c>
      <c r="B55" s="50" t="str">
        <v>HC204</v>
      </c>
      <c r="C55" s="50" t="str">
        <f>VLOOKUP(B55,'RAW DATA'!$H$2:$I$325,2,0)</f>
        <v>Business Analytics For Decision Making</v>
      </c>
      <c r="D55" s="50" t="str">
        <f>VLOOKUP(B55,'RAW DATA'!$H$2:$J$325,3,0)</f>
        <v>Dr.D.V Srinivas Kumar</v>
      </c>
    </row>
    <row r="56" spans="1:4" x14ac:dyDescent="0.3">
      <c r="A56" s="36" t="s">
        <v>15</v>
      </c>
      <c r="B56" s="50" t="str">
        <v>HC204</v>
      </c>
      <c r="C56" s="50" t="str">
        <f>VLOOKUP(B56,'RAW DATA'!$H$2:$I$325,2,0)</f>
        <v>Business Analytics For Decision Making</v>
      </c>
      <c r="D56" s="50" t="str">
        <f>VLOOKUP(B56,'RAW DATA'!$H$2:$J$325,3,0)</f>
        <v>Dr.D.V Srinivas Kumar</v>
      </c>
    </row>
    <row r="57" spans="1:4" x14ac:dyDescent="0.3">
      <c r="A57" s="36" t="s">
        <v>19</v>
      </c>
      <c r="B57" s="50" t="str">
        <v>HC201</v>
      </c>
      <c r="C57" s="50" t="str">
        <f>VLOOKUP(B57,'RAW DATA'!$H$2:$I$325,2,0)</f>
        <v>Human Resource Management</v>
      </c>
      <c r="D57" s="50" t="str">
        <f>VLOOKUP(B57,'RAW DATA'!$H$2:$J$325,3,0)</f>
        <v>Prof. P. Jyothi</v>
      </c>
    </row>
    <row r="58" spans="1:4" x14ac:dyDescent="0.3">
      <c r="A58" s="36" t="s">
        <v>152</v>
      </c>
      <c r="B58" s="50" t="str">
        <v>LUNCH</v>
      </c>
      <c r="C58" s="50" t="str">
        <f>VLOOKUP(B58,'RAW DATA'!$H$2:$I$325,2,0)</f>
        <v>NA</v>
      </c>
      <c r="D58" s="50" t="str">
        <f>VLOOKUP(B58,'RAW DATA'!$H$2:$J$325,3,0)</f>
        <v>NA</v>
      </c>
    </row>
    <row r="59" spans="1:4" x14ac:dyDescent="0.3">
      <c r="A59" s="36" t="s">
        <v>22</v>
      </c>
      <c r="B59" s="50" t="str">
        <v>HC207</v>
      </c>
      <c r="C59" s="50" t="str">
        <f>VLOOKUP(B59,'RAW DATA'!$H$2:$I$325,2,0)</f>
        <v xml:space="preserve">Hospital Functions And Support Services </v>
      </c>
      <c r="D59" s="50" t="str">
        <f>VLOOKUP(B59,'RAW DATA'!$H$2:$J$325,3,0)</f>
        <v>Dr. Sapna Singh</v>
      </c>
    </row>
    <row r="60" spans="1:4" x14ac:dyDescent="0.3">
      <c r="A60" s="36" t="s">
        <v>25</v>
      </c>
      <c r="B60" s="50" t="str">
        <v>HC207</v>
      </c>
      <c r="C60" s="50" t="str">
        <f>VLOOKUP(B60,'RAW DATA'!$H$2:$I$325,2,0)</f>
        <v xml:space="preserve">Hospital Functions And Support Services </v>
      </c>
      <c r="D60" s="50" t="str">
        <f>VLOOKUP(B60,'RAW DATA'!$H$2:$J$325,3,0)</f>
        <v>Dr. Sapna Singh</v>
      </c>
    </row>
    <row r="61" spans="1:4" x14ac:dyDescent="0.3">
      <c r="A61" s="36" t="s">
        <v>26</v>
      </c>
      <c r="B61" s="50" t="str">
        <v>HC203</v>
      </c>
      <c r="C61" s="50" t="str">
        <f>VLOOKUP(B61,'RAW DATA'!$H$2:$I$325,2,0)</f>
        <v>Revenue Cycle Management</v>
      </c>
      <c r="D61" s="50" t="str">
        <f>VLOOKUP(B61,'RAW DATA'!$H$2:$J$325,3,0)</f>
        <v>Dr. Ranjith Kumar Dehury</v>
      </c>
    </row>
    <row r="62" spans="1:4" x14ac:dyDescent="0.3">
      <c r="A62" s="36" t="s">
        <v>29</v>
      </c>
      <c r="B62" s="50" t="str">
        <v>HC203</v>
      </c>
      <c r="C62" s="50" t="str">
        <f>VLOOKUP(B62,'RAW DATA'!$H$2:$I$325,2,0)</f>
        <v>Revenue Cycle Management</v>
      </c>
      <c r="D62" s="50" t="str">
        <f>VLOOKUP(B62,'RAW DATA'!$H$2:$J$325,3,0)</f>
        <v>Dr. Ranjith Kumar Dehury</v>
      </c>
    </row>
    <row r="64" spans="1:4" x14ac:dyDescent="0.3">
      <c r="A64" t="s">
        <v>172</v>
      </c>
    </row>
    <row r="65" spans="1:4" x14ac:dyDescent="0.3">
      <c r="A65" s="35" t="s">
        <v>145</v>
      </c>
      <c r="B65" s="35" t="s">
        <v>149</v>
      </c>
      <c r="C65" s="35" t="s">
        <v>150</v>
      </c>
      <c r="D65" s="35" t="s">
        <v>176</v>
      </c>
    </row>
    <row r="66" spans="1:4" x14ac:dyDescent="0.3">
      <c r="A66" s="36" t="s">
        <v>9</v>
      </c>
      <c r="B66" s="50" t="str" cm="1">
        <f t="array" ref="B66:B74">IF($B$2="MONDAY",INDEX(HC__4,0,1),IF($B$2="TUESDAY",INDEX(HC__4,0,2),IF($B$2="WEDNESDAY",INDEX(HC__4,0,3),IF($B$2="THURSDAY",INDEX(HC__4,0,4),IF($B$2="FRIDAY",INDEX(HC__4,0,5),IF($B$2="SATURDAY",INDEX(HC__4,0,6),"NA"))))))</f>
        <v>NAV</v>
      </c>
      <c r="C66" s="50" t="str">
        <f>VLOOKUP(B66,'RAW DATA'!$H$2:$I$325,2,0)</f>
        <v>NAV</v>
      </c>
      <c r="D66" s="50" t="str">
        <f>VLOOKUP(B66,'RAW DATA'!$H$2:$J$325,3,0)</f>
        <v>NAV</v>
      </c>
    </row>
    <row r="67" spans="1:4" x14ac:dyDescent="0.3">
      <c r="A67" s="36" t="s">
        <v>13</v>
      </c>
      <c r="B67" s="50" t="str">
        <v>NAV</v>
      </c>
      <c r="C67" s="50" t="str">
        <f>VLOOKUP(B67,'RAW DATA'!$H$2:$I$325,2,0)</f>
        <v>NAV</v>
      </c>
      <c r="D67" s="50" t="str">
        <f>VLOOKUP(B67,'RAW DATA'!$H$2:$J$325,3,0)</f>
        <v>NAV</v>
      </c>
    </row>
    <row r="68" spans="1:4" x14ac:dyDescent="0.3">
      <c r="A68" s="36" t="s">
        <v>15</v>
      </c>
      <c r="B68" s="50" t="str">
        <v>NAV</v>
      </c>
      <c r="C68" s="50" t="str">
        <f>VLOOKUP(B68,'RAW DATA'!$H$2:$I$325,2,0)</f>
        <v>NAV</v>
      </c>
      <c r="D68" s="50" t="str">
        <f>VLOOKUP(B68,'RAW DATA'!$H$2:$J$325,3,0)</f>
        <v>NAV</v>
      </c>
    </row>
    <row r="69" spans="1:4" x14ac:dyDescent="0.3">
      <c r="A69" s="36" t="s">
        <v>19</v>
      </c>
      <c r="B69" s="50" t="str">
        <v>NAV</v>
      </c>
      <c r="C69" s="50" t="str">
        <f>VLOOKUP(B69,'RAW DATA'!$H$2:$I$325,2,0)</f>
        <v>NAV</v>
      </c>
      <c r="D69" s="50" t="str">
        <f>VLOOKUP(B69,'RAW DATA'!$H$2:$J$325,3,0)</f>
        <v>NAV</v>
      </c>
    </row>
    <row r="70" spans="1:4" x14ac:dyDescent="0.3">
      <c r="A70" s="36" t="s">
        <v>152</v>
      </c>
      <c r="B70" s="50" t="str">
        <v>NAV</v>
      </c>
      <c r="C70" s="50" t="str">
        <f>VLOOKUP(B70,'RAW DATA'!$H$2:$I$325,2,0)</f>
        <v>NAV</v>
      </c>
      <c r="D70" s="50" t="str">
        <f>VLOOKUP(B70,'RAW DATA'!$H$2:$J$325,3,0)</f>
        <v>NAV</v>
      </c>
    </row>
    <row r="71" spans="1:4" x14ac:dyDescent="0.3">
      <c r="A71" s="36" t="s">
        <v>22</v>
      </c>
      <c r="B71" s="50" t="str">
        <v>NAV</v>
      </c>
      <c r="C71" s="50" t="str">
        <f>VLOOKUP(B71,'RAW DATA'!$H$2:$I$325,2,0)</f>
        <v>NAV</v>
      </c>
      <c r="D71" s="50" t="str">
        <f>VLOOKUP(B71,'RAW DATA'!$H$2:$J$325,3,0)</f>
        <v>NAV</v>
      </c>
    </row>
    <row r="72" spans="1:4" x14ac:dyDescent="0.3">
      <c r="A72" s="36" t="s">
        <v>25</v>
      </c>
      <c r="B72" s="50" t="str">
        <v>NAV</v>
      </c>
      <c r="C72" s="50" t="str">
        <f>VLOOKUP(B72,'RAW DATA'!$H$2:$I$325,2,0)</f>
        <v>NAV</v>
      </c>
      <c r="D72" s="50" t="str">
        <f>VLOOKUP(B72,'RAW DATA'!$H$2:$J$325,3,0)</f>
        <v>NAV</v>
      </c>
    </row>
    <row r="73" spans="1:4" x14ac:dyDescent="0.3">
      <c r="A73" s="36" t="s">
        <v>26</v>
      </c>
      <c r="B73" s="50" t="str">
        <v>NAV</v>
      </c>
      <c r="C73" s="50" t="str">
        <f>VLOOKUP(B73,'RAW DATA'!$H$2:$I$325,2,0)</f>
        <v>NAV</v>
      </c>
      <c r="D73" s="50" t="str">
        <f>VLOOKUP(B73,'RAW DATA'!$H$2:$J$325,3,0)</f>
        <v>NAV</v>
      </c>
    </row>
    <row r="74" spans="1:4" x14ac:dyDescent="0.3">
      <c r="A74" s="36" t="s">
        <v>29</v>
      </c>
      <c r="B74" s="50" t="str">
        <v>NAV</v>
      </c>
      <c r="C74" s="50" t="str">
        <f>VLOOKUP(B74,'RAW DATA'!$H$2:$I$325,2,0)</f>
        <v>NAV</v>
      </c>
      <c r="D74" s="50" t="str">
        <f>VLOOKUP(B74,'RAW DATA'!$H$2:$J$325,3,0)</f>
        <v>NAV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8EFE86-A41B-483C-8A99-99FD1341B19C}">
          <x14:formula1>
            <xm:f>' BACK END MODEL'!$A$4:$A$12</xm:f>
          </x14:formula1>
          <xm:sqref>B2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8BF4-0F64-4960-AF04-A87EFF46E7E9}">
  <dimension ref="A2:D56"/>
  <sheetViews>
    <sheetView workbookViewId="0">
      <selection activeCell="B2" sqref="B2"/>
    </sheetView>
  </sheetViews>
  <sheetFormatPr defaultRowHeight="14.4" x14ac:dyDescent="0.3"/>
  <cols>
    <col min="1" max="1" width="11.5546875" bestFit="1" customWidth="1"/>
    <col min="2" max="2" width="10.77734375" bestFit="1" customWidth="1"/>
    <col min="3" max="3" width="34.33203125" bestFit="1" customWidth="1"/>
    <col min="4" max="4" width="22.21875" bestFit="1" customWidth="1"/>
  </cols>
  <sheetData>
    <row r="2" spans="1:4" x14ac:dyDescent="0.3">
      <c r="A2" s="90" t="s">
        <v>177</v>
      </c>
      <c r="B2" t="s">
        <v>25</v>
      </c>
    </row>
    <row r="4" spans="1:4" x14ac:dyDescent="0.3">
      <c r="A4" s="69" t="s">
        <v>161</v>
      </c>
    </row>
    <row r="5" spans="1:4" ht="15.6" x14ac:dyDescent="0.3">
      <c r="A5" s="53" t="s">
        <v>144</v>
      </c>
      <c r="B5" s="38" t="s">
        <v>149</v>
      </c>
      <c r="C5" s="38" t="s">
        <v>183</v>
      </c>
      <c r="D5" s="38" t="s">
        <v>151</v>
      </c>
    </row>
    <row r="6" spans="1:4" x14ac:dyDescent="0.3">
      <c r="A6" s="38" t="s">
        <v>3</v>
      </c>
      <c r="B6" s="38" t="str" cm="1">
        <f t="array" ref="B6:B11">IF($B$2="09:00-10:00",TRANSPOSE(INDEX(BA__2,1,0)),IF($B$2="10:00-11:00",TRANSPOSE(INDEX(BA__2,2,0)),IF($B$2="11:00-12:00",TRANSPOSE(INDEX(BA__2,3,0)),IF($B$2="12:00-01:00",TRANSPOSE(INDEX(BA__2,4,0)),IF($B$2="01:00-02:00",TRANSPOSE(INDEX(BA__2,5,0)),IF($B$2="02:00-03:00",TRANSPOSE(INDEX(BA__2,6,0)),IF($B$2="03:00-04:00",TRANSPOSE(INDEX(BA__2,7,0)),IF($B$2="04:00-05:00",TRANSPOSE(INDEX(BA__2,8,0)),IF($B$2="05:00-06:00",TRANSPOSE(INDEX(BA__2,9,0)),"NA")))))))))</f>
        <v>BA204</v>
      </c>
      <c r="C6" s="33" t="str">
        <f>VLOOKUP(B6,'RAW DATA'!$H$2:$I$325,2,0)</f>
        <v>Marketing Research</v>
      </c>
      <c r="D6" s="33" t="str">
        <f>VLOOKUP(B6,'RAW DATA'!$H$2:$J$325,3,0)</f>
        <v>Dr.D.V Srinivas Kumar</v>
      </c>
    </row>
    <row r="7" spans="1:4" x14ac:dyDescent="0.3">
      <c r="A7" s="38" t="s">
        <v>4</v>
      </c>
      <c r="B7" s="38" t="str">
        <v>BA204</v>
      </c>
      <c r="C7" s="33" t="str">
        <f>VLOOKUP(B7,'RAW DATA'!$H$2:$I$325,2,0)</f>
        <v>Marketing Research</v>
      </c>
      <c r="D7" s="33" t="str">
        <f>VLOOKUP(B7,'RAW DATA'!$H$2:$J$325,3,0)</f>
        <v>Dr.D.V Srinivas Kumar</v>
      </c>
    </row>
    <row r="8" spans="1:4" x14ac:dyDescent="0.3">
      <c r="A8" s="38" t="s">
        <v>5</v>
      </c>
      <c r="B8" s="38" t="str">
        <v>BA201</v>
      </c>
      <c r="C8" s="33" t="str">
        <f>VLOOKUP(B8,'RAW DATA'!$H$2:$I$325,2,0)</f>
        <v>Econometrics</v>
      </c>
      <c r="D8" s="33" t="str">
        <f>VLOOKUP(B8,'RAW DATA'!$H$2:$J$325,3,0)</f>
        <v>Raghavendra Kushawaha</v>
      </c>
    </row>
    <row r="9" spans="1:4" x14ac:dyDescent="0.3">
      <c r="A9" s="38" t="s">
        <v>6</v>
      </c>
      <c r="B9" s="38" t="str">
        <v>BA206</v>
      </c>
      <c r="C9" s="33" t="str">
        <f>VLOOKUP(B9,'RAW DATA'!$H$2:$I$325,2,0)</f>
        <v>Data Warehousing &amp; OLAP</v>
      </c>
      <c r="D9" s="33" t="str">
        <f>VLOOKUP(B9,'RAW DATA'!$H$2:$J$325,3,0)</f>
        <v>Brigadier Chandrashekhar</v>
      </c>
    </row>
    <row r="10" spans="1:4" x14ac:dyDescent="0.3">
      <c r="A10" s="38" t="s">
        <v>7</v>
      </c>
      <c r="B10" s="38" t="str">
        <v>BA207</v>
      </c>
      <c r="C10" s="33" t="str">
        <f>VLOOKUP(B10,'RAW DATA'!$H$2:$I$325,2,0)</f>
        <v>Machine Learning &amp; Data Mining</v>
      </c>
      <c r="D10" s="33" t="str">
        <f>VLOOKUP(B10,'RAW DATA'!$H$2:$J$325,3,0)</f>
        <v>Brigadier Chandrashekhar</v>
      </c>
    </row>
    <row r="11" spans="1:4" x14ac:dyDescent="0.3">
      <c r="A11" s="38" t="s">
        <v>8</v>
      </c>
      <c r="B11" s="38" t="str">
        <v>BA208</v>
      </c>
      <c r="C11" s="33" t="str">
        <f>VLOOKUP(B11,'RAW DATA'!$H$2:$I$325,2,0)</f>
        <v>Data Visualization</v>
      </c>
      <c r="D11" s="33" t="str">
        <f>VLOOKUP(B11,'RAW DATA'!$H$2:$J$325,3,0)</f>
        <v>Daniel Jadi</v>
      </c>
    </row>
    <row r="13" spans="1:4" x14ac:dyDescent="0.3">
      <c r="A13" s="69" t="s">
        <v>162</v>
      </c>
    </row>
    <row r="14" spans="1:4" ht="15.6" x14ac:dyDescent="0.3">
      <c r="A14" s="53" t="s">
        <v>144</v>
      </c>
      <c r="B14" s="38" t="s">
        <v>149</v>
      </c>
      <c r="C14" s="38" t="s">
        <v>183</v>
      </c>
      <c r="D14" s="38" t="s">
        <v>151</v>
      </c>
    </row>
    <row r="15" spans="1:4" x14ac:dyDescent="0.3">
      <c r="A15" s="38" t="s">
        <v>3</v>
      </c>
      <c r="B15" s="38" t="str" cm="1">
        <f t="array" ref="B15:B20">IF($B$2="09:00-10:00",TRANSPOSE(INDEX(BA__4,1,0)),IF($B$2="10:00-11:00",TRANSPOSE(INDEX(BA__4,2,0)),IF($B$2="11:00-12:00",TRANSPOSE(INDEX(BA__4,3,0)),IF($B$2="12:00-01:00",TRANSPOSE(INDEX(BA__4,4,0)),IF($B$2="01:00-02:00",TRANSPOSE(INDEX(BA__4,5,0)),IF($B$2="02:00-03:00",TRANSPOSE(INDEX(BA__4,6,0)),IF($B$2="03:00-04:00",TRANSPOSE(INDEX(BA__4,7,0)),IF($B$2="04:00-05:00",TRANSPOSE(INDEX(BA__4,8,0)),IF($B$2="05:00-06:00",TRANSPOSE(INDEX(BA__4,9,0)),"NA")))))))))</f>
        <v>LEISURE</v>
      </c>
      <c r="C15" s="33" t="str">
        <f>VLOOKUP(B15,'RAW DATA'!$H$2:$I$325,2,0)</f>
        <v>NA</v>
      </c>
      <c r="D15" s="33" t="str">
        <f>VLOOKUP(B15,'RAW DATA'!$H$2:$J$325,3,0)</f>
        <v>NA</v>
      </c>
    </row>
    <row r="16" spans="1:4" x14ac:dyDescent="0.3">
      <c r="A16" s="38" t="s">
        <v>4</v>
      </c>
      <c r="B16" s="38" t="str">
        <v>LEISURE</v>
      </c>
      <c r="C16" s="33" t="str">
        <f>VLOOKUP(B16,'RAW DATA'!$H$2:$I$325,2,0)</f>
        <v>NA</v>
      </c>
      <c r="D16" s="33" t="str">
        <f>VLOOKUP(B16,'RAW DATA'!$H$2:$J$325,3,0)</f>
        <v>NA</v>
      </c>
    </row>
    <row r="17" spans="1:4" x14ac:dyDescent="0.3">
      <c r="A17" s="38" t="s">
        <v>5</v>
      </c>
      <c r="B17" s="38" t="str">
        <v>LEISURE</v>
      </c>
      <c r="C17" s="33" t="str">
        <f>VLOOKUP(B17,'RAW DATA'!$H$2:$I$325,2,0)</f>
        <v>NA</v>
      </c>
      <c r="D17" s="33" t="str">
        <f>VLOOKUP(B17,'RAW DATA'!$H$2:$J$325,3,0)</f>
        <v>NA</v>
      </c>
    </row>
    <row r="18" spans="1:4" x14ac:dyDescent="0.3">
      <c r="A18" s="38" t="s">
        <v>6</v>
      </c>
      <c r="B18" s="38" t="str">
        <v>LEISURE</v>
      </c>
      <c r="C18" s="33" t="str">
        <f>VLOOKUP(B18,'RAW DATA'!$H$2:$I$325,2,0)</f>
        <v>NA</v>
      </c>
      <c r="D18" s="33" t="str">
        <f>VLOOKUP(B18,'RAW DATA'!$H$2:$J$325,3,0)</f>
        <v>NA</v>
      </c>
    </row>
    <row r="19" spans="1:4" x14ac:dyDescent="0.3">
      <c r="A19" s="38" t="s">
        <v>7</v>
      </c>
      <c r="B19" s="38" t="str">
        <v>BA403</v>
      </c>
      <c r="C19" s="33" t="str">
        <f>VLOOKUP(B19,'RAW DATA'!$H$2:$I$325,2,0)</f>
        <v>Project Management</v>
      </c>
      <c r="D19" s="33" t="str">
        <f>VLOOKUP(B19,'RAW DATA'!$H$2:$J$325,3,0)</f>
        <v>Dr. Pramod Kumar Mishra</v>
      </c>
    </row>
    <row r="20" spans="1:4" x14ac:dyDescent="0.3">
      <c r="A20" s="38" t="s">
        <v>8</v>
      </c>
      <c r="B20" s="38" t="str">
        <v>LEISURE</v>
      </c>
      <c r="C20" s="33" t="str">
        <f>VLOOKUP(B20,'RAW DATA'!$H$2:$I$325,2,0)</f>
        <v>NA</v>
      </c>
      <c r="D20" s="33" t="str">
        <f>VLOOKUP(B20,'RAW DATA'!$H$2:$J$325,3,0)</f>
        <v>NA</v>
      </c>
    </row>
    <row r="22" spans="1:4" x14ac:dyDescent="0.3">
      <c r="A22" s="69" t="s">
        <v>218</v>
      </c>
    </row>
    <row r="23" spans="1:4" ht="15.6" x14ac:dyDescent="0.3">
      <c r="A23" s="53" t="s">
        <v>144</v>
      </c>
      <c r="B23" s="38" t="s">
        <v>149</v>
      </c>
      <c r="C23" s="38" t="s">
        <v>183</v>
      </c>
      <c r="D23" s="38" t="s">
        <v>151</v>
      </c>
    </row>
    <row r="24" spans="1:4" x14ac:dyDescent="0.3">
      <c r="A24" s="38" t="s">
        <v>3</v>
      </c>
      <c r="B24" s="38" t="str" cm="1">
        <f t="array" ref="B24:B29">IF($B$2="09:00-10:00",TRANSPOSE(INDEX(GE__2,1,0)),IF($B$2="10:00-11:00",TRANSPOSE(INDEX(GE__2,2,0)),IF($B$2="11:00-12:00",TRANSPOSE(INDEX(GE__2,3,0)),IF($B$2="12:00-01:00",TRANSPOSE(INDEX(GE__2,4,0)),IF($B$2="01:00-02:00",TRANSPOSE(INDEX(GE__2,5,0)),IF($B$2="02:00-03:00",TRANSPOSE(INDEX(GE__2,6,0)),IF($B$2="03:00-04:00",TRANSPOSE(INDEX(GE__2,7,0)),IF($B$2="04:00-05:00",TRANSPOSE(INDEX(GE__2,8,0)),IF($B$2="05:00-06:00",TRANSPOSE(INDEX(GE__2,9,0)),"NA")))))))))</f>
        <v>GE204</v>
      </c>
      <c r="C24" s="33" t="str">
        <f>VLOOKUP(B24,'RAW DATA'!$H$2:$I$325,2,0)</f>
        <v>Strategic Marketing</v>
      </c>
      <c r="D24" s="33" t="str">
        <f>VLOOKUP(B24,'RAW DATA'!$H$2:$J$325,3,0)</f>
        <v>Prof. Chetan Srivastava</v>
      </c>
    </row>
    <row r="25" spans="1:4" x14ac:dyDescent="0.3">
      <c r="A25" s="38" t="s">
        <v>4</v>
      </c>
      <c r="B25" s="38" t="str">
        <v>LEISURE</v>
      </c>
      <c r="C25" s="33" t="str">
        <f>VLOOKUP(B25,'RAW DATA'!$H$2:$I$325,2,0)</f>
        <v>NA</v>
      </c>
      <c r="D25" s="33" t="str">
        <f>VLOOKUP(B25,'RAW DATA'!$H$2:$J$325,3,0)</f>
        <v>NA</v>
      </c>
    </row>
    <row r="26" spans="1:4" x14ac:dyDescent="0.3">
      <c r="A26" s="38" t="s">
        <v>5</v>
      </c>
      <c r="B26" s="38" t="str">
        <v>GE206</v>
      </c>
      <c r="C26" s="33" t="str">
        <f>VLOOKUP(B26,'RAW DATA'!$H$2:$I$325,2,0)</f>
        <v>Operations management</v>
      </c>
      <c r="D26" s="33" t="str">
        <f>VLOOKUP(B26,'RAW DATA'!$H$2:$J$325,3,0)</f>
        <v>GUEST</v>
      </c>
    </row>
    <row r="27" spans="1:4" x14ac:dyDescent="0.3">
      <c r="A27" s="38" t="s">
        <v>6</v>
      </c>
      <c r="B27" s="38" t="str">
        <v>GE207</v>
      </c>
      <c r="C27" s="33" t="str">
        <f>VLOOKUP(B27,'RAW DATA'!$H$2:$I$325,2,0)</f>
        <v>Research Methodology For Managers</v>
      </c>
      <c r="D27" s="33" t="str">
        <f>VLOOKUP(B27,'RAW DATA'!$H$2:$J$325,3,0)</f>
        <v>Dr. P. Murugan</v>
      </c>
    </row>
    <row r="28" spans="1:4" x14ac:dyDescent="0.3">
      <c r="A28" s="38" t="s">
        <v>7</v>
      </c>
      <c r="B28" s="38" t="str">
        <v>GE207</v>
      </c>
      <c r="C28" s="33" t="str">
        <f>VLOOKUP(B28,'RAW DATA'!$H$2:$I$325,2,0)</f>
        <v>Research Methodology For Managers</v>
      </c>
      <c r="D28" s="33" t="str">
        <f>VLOOKUP(B28,'RAW DATA'!$H$2:$J$325,3,0)</f>
        <v>Dr. P. Murugan</v>
      </c>
    </row>
    <row r="29" spans="1:4" x14ac:dyDescent="0.3">
      <c r="A29" s="38" t="s">
        <v>8</v>
      </c>
      <c r="B29" s="38" t="str">
        <v>LEISURE</v>
      </c>
      <c r="C29" s="33" t="str">
        <f>VLOOKUP(B29,'RAW DATA'!$H$2:$I$325,2,0)</f>
        <v>NA</v>
      </c>
      <c r="D29" s="33" t="str">
        <f>VLOOKUP(B29,'RAW DATA'!$H$2:$J$325,3,0)</f>
        <v>NA</v>
      </c>
    </row>
    <row r="31" spans="1:4" x14ac:dyDescent="0.3">
      <c r="A31" s="69" t="s">
        <v>219</v>
      </c>
    </row>
    <row r="32" spans="1:4" ht="15.6" x14ac:dyDescent="0.3">
      <c r="A32" s="53" t="s">
        <v>144</v>
      </c>
      <c r="B32" s="38" t="s">
        <v>149</v>
      </c>
      <c r="C32" s="38" t="s">
        <v>183</v>
      </c>
      <c r="D32" s="38" t="s">
        <v>151</v>
      </c>
    </row>
    <row r="33" spans="1:4" x14ac:dyDescent="0.3">
      <c r="A33" s="38" t="s">
        <v>3</v>
      </c>
      <c r="B33" s="38" t="str" cm="1">
        <f t="array" ref="B33:B38">IF($B$2="09:00-10:00",TRANSPOSE(INDEX(GE__4,1,0)),IF($B$2="10:00-11:00",TRANSPOSE(INDEX(GE__4,2,0)),IF($B$2="11:00-12:00",TRANSPOSE(INDEX(GE__4,3,0)),IF($B$2="12:00-01:00",TRANSPOSE(INDEX(GE__4,4,0)),IF($B$2="01:00-02:00",TRANSPOSE(INDEX(GE__4,5,0)),IF($B$2="02:00-03:00",TRANSPOSE(INDEX(GE__4,6,0)),IF($B$2="03:00-04:00",TRANSPOSE(INDEX(GE__4,7,0)),IF($B$2="04:00-05:00",TRANSPOSE(INDEX(GE__4,8,0)),IF($B$2="05:00-06:00",TRANSPOSE(INDEX(GE__4,9,0)),"NA")))))))))</f>
        <v>GE431</v>
      </c>
      <c r="C33" s="33" t="str">
        <f>VLOOKUP(B33,'RAW DATA'!$H$2:$I$325,2,0)</f>
        <v>Issues in HRM</v>
      </c>
      <c r="D33" s="33" t="str">
        <f>VLOOKUP(B33,'RAW DATA'!$H$2:$J$325,3,0)</f>
        <v>Prof. P. Jyothi</v>
      </c>
    </row>
    <row r="34" spans="1:4" x14ac:dyDescent="0.3">
      <c r="A34" s="38" t="s">
        <v>4</v>
      </c>
      <c r="B34" s="38" t="str">
        <v>GE442</v>
      </c>
      <c r="C34" s="33" t="str">
        <f>VLOOKUP(B34,'RAW DATA'!$H$2:$I$325,2,0)</f>
        <v>Advertising and Brand Management</v>
      </c>
      <c r="D34" s="33" t="str">
        <f>VLOOKUP(B34,'RAW DATA'!$H$2:$J$325,3,0)</f>
        <v>Prof. Chetan Srivastava</v>
      </c>
    </row>
    <row r="35" spans="1:4" x14ac:dyDescent="0.3">
      <c r="A35" s="38" t="s">
        <v>5</v>
      </c>
      <c r="B35" s="38" t="str">
        <v>LEISURE</v>
      </c>
      <c r="C35" s="33" t="str">
        <f>VLOOKUP(B35,'RAW DATA'!$H$2:$I$325,2,0)</f>
        <v>NA</v>
      </c>
      <c r="D35" s="33" t="str">
        <f>VLOOKUP(B35,'RAW DATA'!$H$2:$J$325,3,0)</f>
        <v>NA</v>
      </c>
    </row>
    <row r="36" spans="1:4" x14ac:dyDescent="0.3">
      <c r="A36" s="38" t="s">
        <v>6</v>
      </c>
      <c r="B36" s="38" t="str">
        <v>GE451</v>
      </c>
      <c r="C36" s="33" t="str">
        <f>VLOOKUP(B36,'RAW DATA'!$H$2:$I$325,2,0)</f>
        <v>Securities analysis and Portfolio management</v>
      </c>
      <c r="D36" s="33" t="str">
        <f>VLOOKUP(B36,'RAW DATA'!$H$2:$J$325,3,0)</f>
        <v xml:space="preserve">Dr. R. Prasanth Kumar </v>
      </c>
    </row>
    <row r="37" spans="1:4" x14ac:dyDescent="0.3">
      <c r="A37" s="38" t="s">
        <v>7</v>
      </c>
      <c r="B37" s="38" t="str">
        <v>GE461</v>
      </c>
      <c r="C37" s="33" t="str">
        <f>VLOOKUP(B37,'RAW DATA'!$H$2:$I$325,2,0)</f>
        <v>Project Management</v>
      </c>
      <c r="D37" s="33" t="str">
        <f>VLOOKUP(B37,'RAW DATA'!$H$2:$J$325,3,0)</f>
        <v>TBD</v>
      </c>
    </row>
    <row r="38" spans="1:4" x14ac:dyDescent="0.3">
      <c r="A38" s="38" t="s">
        <v>8</v>
      </c>
      <c r="B38" s="38" t="str">
        <v>GE472</v>
      </c>
      <c r="C38" s="33" t="str">
        <f>VLOOKUP(B38,'RAW DATA'!$H$2:$I$325,2,0)</f>
        <v>Data Visualization</v>
      </c>
      <c r="D38" s="33" t="str">
        <f>VLOOKUP(B38,'RAW DATA'!$H$2:$J$325,3,0)</f>
        <v>Daniel Jadi</v>
      </c>
    </row>
    <row r="40" spans="1:4" x14ac:dyDescent="0.3">
      <c r="A40" s="69" t="s">
        <v>171</v>
      </c>
    </row>
    <row r="41" spans="1:4" ht="15.6" x14ac:dyDescent="0.3">
      <c r="A41" s="53" t="s">
        <v>144</v>
      </c>
      <c r="B41" s="38" t="s">
        <v>149</v>
      </c>
      <c r="C41" s="38" t="s">
        <v>183</v>
      </c>
      <c r="D41" s="38" t="s">
        <v>151</v>
      </c>
    </row>
    <row r="42" spans="1:4" x14ac:dyDescent="0.3">
      <c r="A42" s="38" t="s">
        <v>3</v>
      </c>
      <c r="B42" s="38" t="str" cm="1">
        <f t="array" ref="B42:B47">IF($B$2="09:00-10:00",TRANSPOSE(INDEX(HC__2,1,0)),IF($B$2="10:00-11:00",TRANSPOSE(INDEX(HC__2,2,0)),IF($B$2="11:00-12:00",TRANSPOSE(INDEX(HC__2,3,0)),IF($B$2="12:00-01:00",TRANSPOSE(INDEX(HC__2,4,0)),IF($B$2="01:00-02:00",TRANSPOSE(INDEX(HC__2,5,0)),IF($B$2="02:00-03:00",TRANSPOSE(INDEX(HC__2,6,0)),IF($B$2="03:00-04:00",TRANSPOSE(INDEX(HC__2,7,0)),IF($B$2="04:00-05:00",TRANSPOSE(INDEX(HC__2,8,0)),IF($B$2="05:00-06:00",TRANSPOSE(INDEX(HC__2,9,0)),"NA")))))))))</f>
        <v>HC207</v>
      </c>
      <c r="C42" s="33" t="str">
        <f>VLOOKUP(B42,'RAW DATA'!$H$2:$I$325,2,0)</f>
        <v xml:space="preserve">Hospital Functions And Support Services </v>
      </c>
      <c r="D42" s="33" t="str">
        <f>VLOOKUP(B42,'RAW DATA'!$H$2:$J$325,3,0)</f>
        <v>Dr. Sapna Singh</v>
      </c>
    </row>
    <row r="43" spans="1:4" x14ac:dyDescent="0.3">
      <c r="A43" s="38" t="s">
        <v>4</v>
      </c>
      <c r="B43" s="38" t="str">
        <v>LEISURE</v>
      </c>
      <c r="C43" s="33" t="str">
        <f>VLOOKUP(B43,'RAW DATA'!$H$2:$I$325,2,0)</f>
        <v>NA</v>
      </c>
      <c r="D43" s="33" t="str">
        <f>VLOOKUP(B43,'RAW DATA'!$H$2:$J$325,3,0)</f>
        <v>NA</v>
      </c>
    </row>
    <row r="44" spans="1:4" x14ac:dyDescent="0.3">
      <c r="A44" s="38" t="s">
        <v>5</v>
      </c>
      <c r="B44" s="38" t="str">
        <v>LEISURE</v>
      </c>
      <c r="C44" s="33" t="str">
        <f>VLOOKUP(B44,'RAW DATA'!$H$2:$I$325,2,0)</f>
        <v>NA</v>
      </c>
      <c r="D44" s="33" t="str">
        <f>VLOOKUP(B44,'RAW DATA'!$H$2:$J$325,3,0)</f>
        <v>NA</v>
      </c>
    </row>
    <row r="45" spans="1:4" x14ac:dyDescent="0.3">
      <c r="A45" s="38" t="s">
        <v>6</v>
      </c>
      <c r="B45" s="38" t="str">
        <v>HC209</v>
      </c>
      <c r="C45" s="33" t="str">
        <f>VLOOKUP(B45,'RAW DATA'!$H$2:$I$325,2,0)</f>
        <v>Research Methodology</v>
      </c>
      <c r="D45" s="33" t="str">
        <f>VLOOKUP(B45,'RAW DATA'!$H$2:$J$325,3,0)</f>
        <v>Dr. P. Murugan</v>
      </c>
    </row>
    <row r="46" spans="1:4" x14ac:dyDescent="0.3">
      <c r="A46" s="38" t="s">
        <v>7</v>
      </c>
      <c r="B46" s="38" t="str">
        <v>HC209</v>
      </c>
      <c r="C46" s="33" t="str">
        <f>VLOOKUP(B46,'RAW DATA'!$H$2:$I$325,2,0)</f>
        <v>Research Methodology</v>
      </c>
      <c r="D46" s="33" t="str">
        <f>VLOOKUP(B46,'RAW DATA'!$H$2:$J$325,3,0)</f>
        <v>Dr. P. Murugan</v>
      </c>
    </row>
    <row r="47" spans="1:4" x14ac:dyDescent="0.3">
      <c r="A47" s="38" t="s">
        <v>8</v>
      </c>
      <c r="B47" s="38" t="str">
        <v>LEISURE</v>
      </c>
      <c r="C47" s="33" t="str">
        <f>VLOOKUP(B47,'RAW DATA'!$H$2:$I$325,2,0)</f>
        <v>NA</v>
      </c>
      <c r="D47" s="33" t="str">
        <f>VLOOKUP(B47,'RAW DATA'!$H$2:$J$325,3,0)</f>
        <v>NA</v>
      </c>
    </row>
    <row r="49" spans="1:4" x14ac:dyDescent="0.3">
      <c r="A49" s="69" t="s">
        <v>172</v>
      </c>
    </row>
    <row r="50" spans="1:4" ht="15.6" x14ac:dyDescent="0.3">
      <c r="A50" s="53" t="s">
        <v>144</v>
      </c>
      <c r="B50" s="38" t="s">
        <v>149</v>
      </c>
      <c r="C50" s="38" t="s">
        <v>183</v>
      </c>
      <c r="D50" s="38" t="s">
        <v>151</v>
      </c>
    </row>
    <row r="51" spans="1:4" x14ac:dyDescent="0.3">
      <c r="A51" s="38" t="s">
        <v>3</v>
      </c>
      <c r="B51" s="38" t="str" cm="1">
        <f t="array" ref="B51:B56">IF($B$2="09:00-10:00",TRANSPOSE(INDEX(HC__4,1,0)),IF($B$2="10:00-11:00",TRANSPOSE(INDEX(HC__4,2,0)),IF($B$2="11:00-12:00",TRANSPOSE(INDEX(HC__4,3,0)),IF($B$2="12:00-01:00",TRANSPOSE(INDEX(HC__4,4,0)),IF($B$2="01:00-02:00",TRANSPOSE(INDEX(HC__4,5,0)),IF($B$2="02:00-03:00",TRANSPOSE(INDEX(HC__4,6,0)),IF($B$2="03:00-04:00",TRANSPOSE(INDEX(HC__4,7,0)),IF($B$2="04:00-05:00",TRANSPOSE(INDEX(HC__4,8,0)),IF($B$2="05:00-06:00",TRANSPOSE(INDEX(HC__4,9,0)),"NA")))))))))</f>
        <v>NAV</v>
      </c>
      <c r="C51" s="33" t="str">
        <f>VLOOKUP(B51,'RAW DATA'!$H$2:$I$325,2,0)</f>
        <v>NAV</v>
      </c>
      <c r="D51" s="33" t="str">
        <f>VLOOKUP(B51,'RAW DATA'!$H$2:$J$325,3,0)</f>
        <v>NAV</v>
      </c>
    </row>
    <row r="52" spans="1:4" x14ac:dyDescent="0.3">
      <c r="A52" s="38" t="s">
        <v>4</v>
      </c>
      <c r="B52" s="38" t="str">
        <v>NAV</v>
      </c>
      <c r="C52" s="33" t="str">
        <f>VLOOKUP(B52,'RAW DATA'!$H$2:$I$325,2,0)</f>
        <v>NAV</v>
      </c>
      <c r="D52" s="33" t="str">
        <f>VLOOKUP(B52,'RAW DATA'!$H$2:$J$325,3,0)</f>
        <v>NAV</v>
      </c>
    </row>
    <row r="53" spans="1:4" x14ac:dyDescent="0.3">
      <c r="A53" s="38" t="s">
        <v>5</v>
      </c>
      <c r="B53" s="38" t="str">
        <v>NAV</v>
      </c>
      <c r="C53" s="33" t="str">
        <f>VLOOKUP(B53,'RAW DATA'!$H$2:$I$325,2,0)</f>
        <v>NAV</v>
      </c>
      <c r="D53" s="33" t="str">
        <f>VLOOKUP(B53,'RAW DATA'!$H$2:$J$325,3,0)</f>
        <v>NAV</v>
      </c>
    </row>
    <row r="54" spans="1:4" x14ac:dyDescent="0.3">
      <c r="A54" s="38" t="s">
        <v>6</v>
      </c>
      <c r="B54" s="38" t="str">
        <v>NAV</v>
      </c>
      <c r="C54" s="33" t="str">
        <f>VLOOKUP(B54,'RAW DATA'!$H$2:$I$325,2,0)</f>
        <v>NAV</v>
      </c>
      <c r="D54" s="33" t="str">
        <f>VLOOKUP(B54,'RAW DATA'!$H$2:$J$325,3,0)</f>
        <v>NAV</v>
      </c>
    </row>
    <row r="55" spans="1:4" x14ac:dyDescent="0.3">
      <c r="A55" s="38" t="s">
        <v>7</v>
      </c>
      <c r="B55" s="38" t="str">
        <v>NAV</v>
      </c>
      <c r="C55" s="33" t="str">
        <f>VLOOKUP(B55,'RAW DATA'!$H$2:$I$325,2,0)</f>
        <v>NAV</v>
      </c>
      <c r="D55" s="33" t="str">
        <f>VLOOKUP(B55,'RAW DATA'!$H$2:$J$325,3,0)</f>
        <v>NAV</v>
      </c>
    </row>
    <row r="56" spans="1:4" x14ac:dyDescent="0.3">
      <c r="A56" s="38" t="s">
        <v>8</v>
      </c>
      <c r="B56" s="38" t="str">
        <v>NAV</v>
      </c>
      <c r="C56" s="33" t="str">
        <f>VLOOKUP(B56,'RAW DATA'!$H$2:$I$325,2,0)</f>
        <v>NAV</v>
      </c>
      <c r="D56" s="33" t="str">
        <f>VLOOKUP(B56,'RAW DATA'!$H$2:$J$325,3,0)</f>
        <v>NAV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41E851-C2AE-469C-A7B0-D77CE7D3474C}">
          <x14:formula1>
            <xm:f>' BACK END MODEL'!$B$4:$B$12</xm:f>
          </x14:formula1>
          <xm:sqref>B2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1A54-D70B-4B09-A21B-0A0242DD0E21}">
  <dimension ref="A4:E9"/>
  <sheetViews>
    <sheetView workbookViewId="0">
      <selection activeCell="E7" sqref="E7"/>
    </sheetView>
  </sheetViews>
  <sheetFormatPr defaultRowHeight="14.4" x14ac:dyDescent="0.3"/>
  <cols>
    <col min="2" max="2" width="10.77734375" bestFit="1" customWidth="1"/>
    <col min="5" max="5" width="32.6640625" bestFit="1" customWidth="1"/>
  </cols>
  <sheetData>
    <row r="4" spans="1:5" x14ac:dyDescent="0.3">
      <c r="A4" s="44"/>
      <c r="B4" s="41"/>
      <c r="C4" s="41"/>
      <c r="D4" s="41"/>
      <c r="E4" s="45"/>
    </row>
    <row r="5" spans="1:5" ht="15.6" x14ac:dyDescent="0.3">
      <c r="A5" s="32" t="s">
        <v>173</v>
      </c>
      <c r="B5" s="39">
        <v>2</v>
      </c>
      <c r="C5" s="42"/>
      <c r="D5" s="40" t="s">
        <v>149</v>
      </c>
      <c r="E5" s="37" t="str" cm="1">
        <f t="array" ref="E5">INDEX((BA__2,BA__4,GE__2,GE__4,HC__2,HC__4),' BACK END MODEL'!B29,' BACK END MODEL'!B30,' BACK END MODEL'!B31)</f>
        <v>HC206</v>
      </c>
    </row>
    <row r="6" spans="1:5" ht="15.6" x14ac:dyDescent="0.3">
      <c r="A6" s="32" t="s">
        <v>174</v>
      </c>
      <c r="B6" s="38" t="s">
        <v>140</v>
      </c>
      <c r="C6" s="42"/>
      <c r="D6" s="40" t="s">
        <v>183</v>
      </c>
      <c r="E6" s="37" t="str">
        <f>VLOOKUP(E5,'RAW DATA'!H2:I325,2,0)</f>
        <v>Health Economics</v>
      </c>
    </row>
    <row r="7" spans="1:5" ht="15.6" x14ac:dyDescent="0.3">
      <c r="A7" s="32" t="s">
        <v>175</v>
      </c>
      <c r="B7" s="38" t="s">
        <v>8</v>
      </c>
      <c r="C7" s="42"/>
      <c r="D7" s="40" t="s">
        <v>151</v>
      </c>
      <c r="E7" s="37" t="str">
        <f>VLOOKUP(E5,'RAW DATA'!H2:J325,3,0)</f>
        <v>Dr.B.N.V.Parthasarathi</v>
      </c>
    </row>
    <row r="8" spans="1:5" ht="15.6" x14ac:dyDescent="0.3">
      <c r="A8" s="32" t="s">
        <v>177</v>
      </c>
      <c r="B8" s="38" t="s">
        <v>15</v>
      </c>
      <c r="C8" s="42"/>
      <c r="D8" s="42"/>
      <c r="E8" s="48"/>
    </row>
    <row r="9" spans="1:5" x14ac:dyDescent="0.3">
      <c r="A9" s="46"/>
      <c r="B9" s="43"/>
      <c r="C9" s="43"/>
      <c r="D9" s="43"/>
      <c r="E9" s="47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49C4D79-102D-4315-9C41-3452F77EE2DF}">
          <x14:formula1>
            <xm:f>'RAW DATA'!$D$2:$D$10</xm:f>
          </x14:formula1>
          <xm:sqref>B8</xm:sqref>
        </x14:dataValidation>
        <x14:dataValidation type="list" allowBlank="1" showInputMessage="1" showErrorMessage="1" xr:uid="{58C50EC3-ECE9-4C9E-905A-3BC23281D796}">
          <x14:formula1>
            <xm:f>GEN!$A$27:$A$29</xm:f>
          </x14:formula1>
          <xm:sqref>B6</xm:sqref>
        </x14:dataValidation>
        <x14:dataValidation type="list" allowBlank="1" showInputMessage="1" showErrorMessage="1" xr:uid="{07DC4E6D-447F-45B9-9B87-E96109C6D397}">
          <x14:formula1>
            <xm:f>'RAW DATA'!$A$2:$A$91</xm:f>
          </x14:formula1>
          <xm:sqref>B5</xm:sqref>
        </x14:dataValidation>
        <x14:dataValidation type="list" allowBlank="1" showInputMessage="1" showErrorMessage="1" xr:uid="{151957B1-7549-4381-88E5-6CF3AA5AA3E6}">
          <x14:formula1>
            <xm:f>'RAW DATA'!$C$2:$C$109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44761-5A7E-466F-BE78-0CA142B47C2E}">
  <dimension ref="A4:D18"/>
  <sheetViews>
    <sheetView workbookViewId="0">
      <selection activeCell="B5" sqref="B5"/>
    </sheetView>
  </sheetViews>
  <sheetFormatPr defaultRowHeight="14.4" x14ac:dyDescent="0.3"/>
  <cols>
    <col min="1" max="1" width="10.77734375" bestFit="1" customWidth="1"/>
    <col min="2" max="2" width="11.5546875" bestFit="1" customWidth="1"/>
    <col min="3" max="4" width="32.6640625" bestFit="1" customWidth="1"/>
  </cols>
  <sheetData>
    <row r="4" spans="1:4" ht="15.6" x14ac:dyDescent="0.3">
      <c r="A4" s="32" t="s">
        <v>173</v>
      </c>
      <c r="B4" s="52">
        <v>4</v>
      </c>
    </row>
    <row r="5" spans="1:4" x14ac:dyDescent="0.3">
      <c r="A5" s="34" t="s">
        <v>174</v>
      </c>
      <c r="B5" s="37" t="s">
        <v>140</v>
      </c>
    </row>
    <row r="6" spans="1:4" x14ac:dyDescent="0.3">
      <c r="A6" s="34" t="s">
        <v>175</v>
      </c>
      <c r="B6" s="37" t="s">
        <v>5</v>
      </c>
    </row>
    <row r="9" spans="1:4" x14ac:dyDescent="0.3">
      <c r="A9" s="35" t="s">
        <v>145</v>
      </c>
      <c r="B9" s="35" t="s">
        <v>149</v>
      </c>
      <c r="C9" s="35" t="s">
        <v>150</v>
      </c>
      <c r="D9" s="35" t="s">
        <v>176</v>
      </c>
    </row>
    <row r="10" spans="1:4" x14ac:dyDescent="0.3">
      <c r="A10" s="36" t="s">
        <v>9</v>
      </c>
      <c r="B10" s="50" t="str" cm="1">
        <f t="array" ref="B10:B18">IF(AND(B4=2,B5="BA"),INDEX(BA__2,' BACK END MODEL'!B46,' BACK END MODEL'!B47),IF(AND('@Day'!B4=4,'@Day'!B5="BA"),INDEX(BA__4,' BACK END MODEL'!B46,' BACK END MODEL'!B47),IF(AND('@Day'!B4=2,'@Day'!B5="GEN"),INDEX(GE__2,' BACK END MODEL'!B46,' BACK END MODEL'!B47),IF(AND('@Day'!B4=4,'@Day'!B5="GEN"),INDEX(GE__4,' BACK END MODEL'!B46,' BACK END MODEL'!B47),IF(AND('@Day'!B4=2,'@Day'!B5="HC"),INDEX(HC__2,' BACK END MODEL'!B46,' BACK END MODEL'!B47),IF(AND('@Day'!B4=4,'@Day'!B5="HC"),INDEX(HC__4,' BACK END MODEL'!B46,' BACK END MODEL'!B47),NA))))))</f>
        <v>NAV</v>
      </c>
      <c r="C10" s="50" t="str">
        <f>VLOOKUP(B10,'RAW DATA'!$H$2:$I$325,2,0)</f>
        <v>NAV</v>
      </c>
      <c r="D10" s="50" t="str">
        <f>VLOOKUP(B10,'RAW DATA'!$H$2:$J$325,3,0)</f>
        <v>NAV</v>
      </c>
    </row>
    <row r="11" spans="1:4" x14ac:dyDescent="0.3">
      <c r="A11" s="36" t="s">
        <v>13</v>
      </c>
      <c r="B11" s="50" t="str">
        <v>NAV</v>
      </c>
      <c r="C11" s="50" t="str">
        <f>VLOOKUP(B11,'RAW DATA'!$H$2:$I$325,2,0)</f>
        <v>NAV</v>
      </c>
      <c r="D11" s="50" t="str">
        <f>VLOOKUP(B11,'RAW DATA'!$H$2:$J$325,3,0)</f>
        <v>NAV</v>
      </c>
    </row>
    <row r="12" spans="1:4" x14ac:dyDescent="0.3">
      <c r="A12" s="36" t="s">
        <v>15</v>
      </c>
      <c r="B12" s="50" t="str">
        <v>NAV</v>
      </c>
      <c r="C12" s="50" t="str">
        <f>VLOOKUP(B12,'RAW DATA'!$H$2:$I$325,2,0)</f>
        <v>NAV</v>
      </c>
      <c r="D12" s="50" t="str">
        <f>VLOOKUP(B12,'RAW DATA'!$H$2:$J$325,3,0)</f>
        <v>NAV</v>
      </c>
    </row>
    <row r="13" spans="1:4" x14ac:dyDescent="0.3">
      <c r="A13" s="36" t="s">
        <v>19</v>
      </c>
      <c r="B13" s="50" t="str">
        <v>NAV</v>
      </c>
      <c r="C13" s="50" t="str">
        <f>VLOOKUP(B13,'RAW DATA'!$H$2:$I$325,2,0)</f>
        <v>NAV</v>
      </c>
      <c r="D13" s="50" t="str">
        <f>VLOOKUP(B13,'RAW DATA'!$H$2:$J$325,3,0)</f>
        <v>NAV</v>
      </c>
    </row>
    <row r="14" spans="1:4" x14ac:dyDescent="0.3">
      <c r="A14" s="36" t="s">
        <v>152</v>
      </c>
      <c r="B14" s="50" t="str">
        <v>NAV</v>
      </c>
      <c r="C14" s="50" t="str">
        <f>VLOOKUP(B14,'RAW DATA'!$H$2:$I$325,2,0)</f>
        <v>NAV</v>
      </c>
      <c r="D14" s="50" t="str">
        <f>VLOOKUP(B14,'RAW DATA'!$H$2:$J$325,3,0)</f>
        <v>NAV</v>
      </c>
    </row>
    <row r="15" spans="1:4" x14ac:dyDescent="0.3">
      <c r="A15" s="36" t="s">
        <v>22</v>
      </c>
      <c r="B15" s="50" t="str">
        <v>NAV</v>
      </c>
      <c r="C15" s="50" t="str">
        <f>VLOOKUP(B15,'RAW DATA'!$H$2:$I$325,2,0)</f>
        <v>NAV</v>
      </c>
      <c r="D15" s="50" t="str">
        <f>VLOOKUP(B15,'RAW DATA'!$H$2:$J$325,3,0)</f>
        <v>NAV</v>
      </c>
    </row>
    <row r="16" spans="1:4" x14ac:dyDescent="0.3">
      <c r="A16" s="36" t="s">
        <v>25</v>
      </c>
      <c r="B16" s="50" t="str">
        <v>NAV</v>
      </c>
      <c r="C16" s="50" t="str">
        <f>VLOOKUP(B16,'RAW DATA'!$H$2:$I$325,2,0)</f>
        <v>NAV</v>
      </c>
      <c r="D16" s="50" t="str">
        <f>VLOOKUP(B16,'RAW DATA'!$H$2:$J$325,3,0)</f>
        <v>NAV</v>
      </c>
    </row>
    <row r="17" spans="1:4" x14ac:dyDescent="0.3">
      <c r="A17" s="36" t="s">
        <v>26</v>
      </c>
      <c r="B17" s="50" t="str">
        <v>NAV</v>
      </c>
      <c r="C17" s="50" t="str">
        <f>VLOOKUP(B17,'RAW DATA'!$H$2:$I$325,2,0)</f>
        <v>NAV</v>
      </c>
      <c r="D17" s="50" t="str">
        <f>VLOOKUP(B17,'RAW DATA'!$H$2:$J$325,3,0)</f>
        <v>NAV</v>
      </c>
    </row>
    <row r="18" spans="1:4" x14ac:dyDescent="0.3">
      <c r="A18" s="36" t="s">
        <v>29</v>
      </c>
      <c r="B18" s="50" t="str">
        <v>NAV</v>
      </c>
      <c r="C18" s="50" t="str">
        <f>VLOOKUP(B18,'RAW DATA'!$H$2:$I$325,2,0)</f>
        <v>NAV</v>
      </c>
      <c r="D18" s="50" t="str">
        <f>VLOOKUP(B18,'RAW DATA'!$H$2:$J$325,3,0)</f>
        <v>NAV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BCD046-3F93-4F19-B28B-227F0ED5B0F5}">
          <x14:formula1>
            <xm:f>GEN!$A$27:$A$29</xm:f>
          </x14:formula1>
          <xm:sqref>B5</xm:sqref>
        </x14:dataValidation>
        <x14:dataValidation type="list" allowBlank="1" showInputMessage="1" showErrorMessage="1" xr:uid="{09158BA7-65F7-4512-9053-A2926195642C}">
          <x14:formula1>
            <xm:f>'RAW DATA'!$A$2:$A$91</xm:f>
          </x14:formula1>
          <xm:sqref>B4</xm:sqref>
        </x14:dataValidation>
        <x14:dataValidation type="list" allowBlank="1" showInputMessage="1" showErrorMessage="1" xr:uid="{02832489-28AB-42B6-B6C8-B93833A325A0}">
          <x14:formula1>
            <xm:f>'RAW DATA'!$C$2:$C$109</xm:f>
          </x14:formula1>
          <xm:sqref>B6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3730-B47D-4854-982A-F3F19D2FE387}">
  <dimension ref="A4:D15"/>
  <sheetViews>
    <sheetView workbookViewId="0">
      <selection activeCell="A9" sqref="A9:D15"/>
    </sheetView>
  </sheetViews>
  <sheetFormatPr defaultRowHeight="14.4" x14ac:dyDescent="0.3"/>
  <cols>
    <col min="1" max="1" width="11.5546875" bestFit="1" customWidth="1"/>
    <col min="2" max="2" width="10.77734375" bestFit="1" customWidth="1"/>
    <col min="3" max="4" width="34.33203125" bestFit="1" customWidth="1"/>
  </cols>
  <sheetData>
    <row r="4" spans="1:4" ht="15.6" x14ac:dyDescent="0.3">
      <c r="A4" s="32" t="s">
        <v>173</v>
      </c>
      <c r="B4" s="51">
        <v>2</v>
      </c>
    </row>
    <row r="5" spans="1:4" ht="15.6" x14ac:dyDescent="0.3">
      <c r="A5" s="32" t="s">
        <v>174</v>
      </c>
      <c r="B5" s="33" t="s">
        <v>139</v>
      </c>
    </row>
    <row r="6" spans="1:4" ht="15.6" x14ac:dyDescent="0.3">
      <c r="A6" s="32" t="s">
        <v>177</v>
      </c>
      <c r="B6" s="33" t="s">
        <v>9</v>
      </c>
    </row>
    <row r="9" spans="1:4" ht="15.6" x14ac:dyDescent="0.3">
      <c r="A9" s="53" t="s">
        <v>144</v>
      </c>
      <c r="B9" s="38" t="s">
        <v>149</v>
      </c>
      <c r="C9" s="38" t="s">
        <v>183</v>
      </c>
      <c r="D9" s="38" t="s">
        <v>151</v>
      </c>
    </row>
    <row r="10" spans="1:4" x14ac:dyDescent="0.3">
      <c r="A10" s="38" t="s">
        <v>3</v>
      </c>
      <c r="B10" s="38" t="str" cm="1">
        <f t="array" ref="B10:B15">TRANSPOSE(IF(AND(B4=2,B5="BA"),INDEX(BA__2,' BACK END MODEL'!B38,' BACK END MODEL'!B39),IF(AND(B4=4,B5="BA"),INDEX(BA__4,' BACK END MODEL'!B38,' BACK END MODEL'!B39),IF(AND(B4=2,B5="GEN"),INDEX(GE__2,' BACK END MODEL'!B38,' BACK END MODEL'!B39),IF(AND(B4=4,B5="GEN"),INDEX(GE__4,' BACK END MODEL'!B38,' BACK END MODEL'!B39),IF(AND(B4=2,B5="HC"),INDEX(HC__2,' BACK END MODEL'!B38,' BACK END MODEL'!B39),IF(AND(B4=4,B5="HC"),INDEX(HC__4,' BACK END MODEL'!B38,' BACK END MODEL'!B39),NA)))))))</f>
        <v>BA203</v>
      </c>
      <c r="C10" s="33" t="str">
        <f>VLOOKUP(B10,'RAW DATA'!$H$2:$I$325,2,0)</f>
        <v>Operations Research</v>
      </c>
      <c r="D10" s="33" t="str">
        <f>VLOOKUP(B10,'RAW DATA'!$H$2:$J$325,3,0)</f>
        <v>Dr. Pramod Kumar Mishra</v>
      </c>
    </row>
    <row r="11" spans="1:4" x14ac:dyDescent="0.3">
      <c r="A11" s="38" t="s">
        <v>4</v>
      </c>
      <c r="B11" s="38" t="str">
        <v>BA205</v>
      </c>
      <c r="C11" s="33" t="str">
        <f>VLOOKUP(B11,'RAW DATA'!$H$2:$I$325,2,0)</f>
        <v>Operations &amp; Supply Chain Management</v>
      </c>
      <c r="D11" s="33" t="str">
        <f>VLOOKUP(B11,'RAW DATA'!$H$2:$J$325,3,0)</f>
        <v>Prof. G.V.R.K. Acharyulu</v>
      </c>
    </row>
    <row r="12" spans="1:4" x14ac:dyDescent="0.3">
      <c r="A12" s="38" t="s">
        <v>5</v>
      </c>
      <c r="B12" s="38" t="str">
        <v>BA205</v>
      </c>
      <c r="C12" s="33" t="str">
        <f>VLOOKUP(B12,'RAW DATA'!$H$2:$I$325,2,0)</f>
        <v>Operations &amp; Supply Chain Management</v>
      </c>
      <c r="D12" s="33" t="str">
        <f>VLOOKUP(B12,'RAW DATA'!$H$2:$J$325,3,0)</f>
        <v>Prof. G.V.R.K. Acharyulu</v>
      </c>
    </row>
    <row r="13" spans="1:4" x14ac:dyDescent="0.3">
      <c r="A13" s="38" t="s">
        <v>6</v>
      </c>
      <c r="B13" s="38" t="str">
        <v>BA203</v>
      </c>
      <c r="C13" s="33" t="str">
        <f>VLOOKUP(B13,'RAW DATA'!$H$2:$I$325,2,0)</f>
        <v>Operations Research</v>
      </c>
      <c r="D13" s="33" t="str">
        <f>VLOOKUP(B13,'RAW DATA'!$H$2:$J$325,3,0)</f>
        <v>Dr. Pramod Kumar Mishra</v>
      </c>
    </row>
    <row r="14" spans="1:4" x14ac:dyDescent="0.3">
      <c r="A14" s="38" t="s">
        <v>7</v>
      </c>
      <c r="B14" s="38" t="str">
        <v>BA206</v>
      </c>
      <c r="C14" s="33" t="str">
        <f>VLOOKUP(B14,'RAW DATA'!$H$2:$I$325,2,0)</f>
        <v>Data Warehousing &amp; OLAP</v>
      </c>
      <c r="D14" s="33" t="str">
        <f>VLOOKUP(B14,'RAW DATA'!$H$2:$J$325,3,0)</f>
        <v>Brigadier Chandrashekhar</v>
      </c>
    </row>
    <row r="15" spans="1:4" x14ac:dyDescent="0.3">
      <c r="A15" s="38" t="s">
        <v>8</v>
      </c>
      <c r="B15" s="38" t="str">
        <v>BA207</v>
      </c>
      <c r="C15" s="33" t="str">
        <f>VLOOKUP(B15,'RAW DATA'!$H$2:$I$325,2,0)</f>
        <v>Machine Learning &amp; Data Mining</v>
      </c>
      <c r="D15" s="33" t="str">
        <f>VLOOKUP(B15,'RAW DATA'!$H$2:$J$325,3,0)</f>
        <v>Brigadier Chandrashekhar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061123F-BF48-45E7-93D1-7ACA4F8800B1}">
          <x14:formula1>
            <xm:f>'RAW DATA'!$D$2:$D$10</xm:f>
          </x14:formula1>
          <xm:sqref>B6</xm:sqref>
        </x14:dataValidation>
        <x14:dataValidation type="list" allowBlank="1" showInputMessage="1" showErrorMessage="1" xr:uid="{BEB511C0-BBA2-4CC7-A4EE-1A8B0B039FB4}">
          <x14:formula1>
            <xm:f>GEN!$A$27:$A$29</xm:f>
          </x14:formula1>
          <xm:sqref>B5</xm:sqref>
        </x14:dataValidation>
        <x14:dataValidation type="list" allowBlank="1" showInputMessage="1" showErrorMessage="1" xr:uid="{E759B0EF-104D-4522-A54D-1FF64D7677EC}">
          <x14:formula1>
            <xm:f>'RAW DATA'!$A$2:$A$91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BA</vt:lpstr>
      <vt:lpstr>GEN</vt:lpstr>
      <vt:lpstr>HC&amp;HM</vt:lpstr>
      <vt:lpstr>RAW DATA</vt:lpstr>
      <vt:lpstr>BACK END DATA</vt:lpstr>
      <vt:lpstr> BACK END MODEL</vt:lpstr>
      <vt:lpstr>course</vt:lpstr>
      <vt:lpstr>sem</vt:lpstr>
      <vt:lpstr>FAC</vt:lpstr>
      <vt:lpstr>Day</vt:lpstr>
      <vt:lpstr>Time</vt:lpstr>
      <vt:lpstr>Instant</vt:lpstr>
      <vt:lpstr>@Day</vt:lpstr>
      <vt:lpstr>@Time</vt:lpstr>
      <vt:lpstr>AUTOMATION</vt:lpstr>
      <vt:lpstr>BA__2</vt:lpstr>
      <vt:lpstr>BA__4</vt:lpstr>
      <vt:lpstr>BA_2</vt:lpstr>
      <vt:lpstr>BA_SEM2</vt:lpstr>
      <vt:lpstr>BA_SEM4</vt:lpstr>
      <vt:lpstr>GE__2</vt:lpstr>
      <vt:lpstr>GE__4</vt:lpstr>
      <vt:lpstr>GE_SEM2</vt:lpstr>
      <vt:lpstr>GE_SEM4</vt:lpstr>
      <vt:lpstr>HC__2</vt:lpstr>
      <vt:lpstr>HC__4</vt:lpstr>
      <vt:lpstr>HC_SEM2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rukmini vinakollu</dc:creator>
  <cp:keywords/>
  <dc:description/>
  <cp:lastModifiedBy>rukmini vinakollu</cp:lastModifiedBy>
  <cp:revision/>
  <dcterms:created xsi:type="dcterms:W3CDTF">2024-02-28T05:56:26Z</dcterms:created>
  <dcterms:modified xsi:type="dcterms:W3CDTF">2024-04-09T11:57:13Z</dcterms:modified>
  <cp:category/>
  <cp:contentStatus/>
</cp:coreProperties>
</file>